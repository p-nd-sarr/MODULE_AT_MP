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P\Documents\scicasoft\IPRES\new\params\"/>
    </mc:Choice>
  </mc:AlternateContent>
  <xr:revisionPtr revIDLastSave="0" documentId="13_ncr:1_{CAAB87D7-5614-490C-9BE7-86E582268603}" xr6:coauthVersionLast="45" xr6:coauthVersionMax="45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Calcul de points" sheetId="1" r:id="rId1"/>
    <sheet name="Calcul de la pension" sheetId="2" r:id="rId2"/>
    <sheet name="Calcul de la pension Format" sheetId="3" r:id="rId3"/>
    <sheet name="Calcul de points Format" sheetId="4" r:id="rId4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D2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2" i="1"/>
  <c r="G2" i="2"/>
  <c r="I78" i="2"/>
  <c r="I77" i="2"/>
  <c r="I76" i="2"/>
  <c r="H76" i="2"/>
  <c r="H75" i="2"/>
  <c r="H74" i="2"/>
  <c r="H73" i="2"/>
  <c r="H72" i="2"/>
  <c r="H71" i="2"/>
  <c r="H70" i="2"/>
  <c r="H69" i="2"/>
  <c r="H68" i="2"/>
  <c r="H67" i="2"/>
  <c r="H66" i="2"/>
  <c r="G65" i="2"/>
  <c r="G64" i="2"/>
  <c r="G63" i="2"/>
  <c r="G62" i="2"/>
  <c r="F61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I43" i="2"/>
  <c r="I42" i="2"/>
  <c r="I41" i="2"/>
  <c r="H41" i="2"/>
  <c r="H40" i="2"/>
  <c r="H39" i="2"/>
  <c r="H38" i="2"/>
  <c r="H37" i="2"/>
  <c r="H36" i="2"/>
  <c r="H35" i="2"/>
  <c r="H34" i="2"/>
  <c r="H33" i="2"/>
  <c r="H32" i="2"/>
  <c r="H31" i="2"/>
  <c r="G30" i="2"/>
  <c r="G29" i="2"/>
  <c r="G28" i="2"/>
  <c r="F26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I97" i="1"/>
  <c r="E107" i="1"/>
  <c r="E94" i="1"/>
  <c r="E60" i="1"/>
  <c r="E47" i="1"/>
</calcChain>
</file>

<file path=xl/sharedStrings.xml><?xml version="1.0" encoding="utf-8"?>
<sst xmlns="http://schemas.openxmlformats.org/spreadsheetml/2006/main" count="667" uniqueCount="89">
  <si>
    <t>ANNEE_BAREME</t>
  </si>
  <si>
    <t>CODE_REGIME</t>
  </si>
  <si>
    <t>SALAIRE_DE_REFERENCE</t>
  </si>
  <si>
    <t>TAUX_CONTRACTUEL</t>
  </si>
  <si>
    <t>COEFFICIENT_en_1/1000000</t>
  </si>
  <si>
    <t>POINT_ANNUEL_PLAFONNE</t>
  </si>
  <si>
    <t>SALAIRE_ANNUEL_PLAFONNE</t>
  </si>
  <si>
    <t>VALEUR_POINT_TRIMESTRE</t>
  </si>
  <si>
    <t>VALEUR_POINT_BIMESTRE</t>
  </si>
  <si>
    <t>VALEUR_POINT_MENSUEL</t>
  </si>
  <si>
    <t>PERIODE</t>
  </si>
  <si>
    <t>ANNEE</t>
  </si>
  <si>
    <t>VALEUR_POINT_ANNUEL</t>
  </si>
  <si>
    <t>(1-01-58 au 31-12-60)</t>
  </si>
  <si>
    <t>(1-01-61 au 31-12-61)</t>
  </si>
  <si>
    <t>(1-01-62 au 31-12-62)</t>
  </si>
  <si>
    <t>(1-01-63 au 30-06-64)</t>
  </si>
  <si>
    <t>(1-07-64 au 30-06-66)</t>
  </si>
  <si>
    <t>(1-07-66 au 30-09-72)</t>
  </si>
  <si>
    <t>(1-10-72 au 31-03-74)</t>
  </si>
  <si>
    <t>(1-04-74 au 31-10-74)</t>
  </si>
  <si>
    <t>(1-11-74 au 30-06-75)</t>
  </si>
  <si>
    <t>(1-07-75 au 31-12-76)</t>
  </si>
  <si>
    <t>(1-01-77 au 31-12-77)</t>
  </si>
  <si>
    <t>(1-01-78 au 31-12-78)</t>
  </si>
  <si>
    <t>(1-01-79 au 31-12-79)</t>
  </si>
  <si>
    <t>(1-01-80 au 30-06-81)</t>
  </si>
  <si>
    <t>(1-07-81 au 30-06-82)</t>
  </si>
  <si>
    <t>(1-07-82 au 31-03-83)</t>
  </si>
  <si>
    <t>(1-04-83 au 30-06-84)</t>
  </si>
  <si>
    <t>(1-07-84 au 30-06-85)</t>
  </si>
  <si>
    <t>(1-07-85 au 30-06-86)</t>
  </si>
  <si>
    <t>(1-07-86 au 30-09-88)</t>
  </si>
  <si>
    <t>(1-10-88 au 30-06-94)</t>
  </si>
  <si>
    <t>(1-07-94 au 30-06-99)</t>
  </si>
  <si>
    <t>(1-07-99 au 30-09-01)</t>
  </si>
  <si>
    <t>(1/10/01 au 31/12/02)</t>
  </si>
  <si>
    <t>(1/01/03 au 31/12/03)</t>
  </si>
  <si>
    <t>(1/01/04 au 31/12/04)</t>
  </si>
  <si>
    <t>(1/01/05 au 31/12/05)</t>
  </si>
  <si>
    <t>(1/01/06 au 31/12/06)</t>
  </si>
  <si>
    <t>(1/01/07 au 30/06/07)</t>
  </si>
  <si>
    <t>(1/07/07 au 31/12/07)</t>
  </si>
  <si>
    <t>(1/01/08 au 31/12/08)</t>
  </si>
  <si>
    <t>(1/01/09 au 31/12/09)</t>
  </si>
  <si>
    <t>(1/01/10 au 31/12/10)</t>
  </si>
  <si>
    <t>(1/01/11 au 31/12/11)</t>
  </si>
  <si>
    <t>(1/01/12 au 31/12/12)</t>
  </si>
  <si>
    <t>(1/01/13 au 31/12/13)</t>
  </si>
  <si>
    <t>(1/01/14 au 31/12/14)</t>
  </si>
  <si>
    <t>(1/01/15 au 31/12/15)</t>
  </si>
  <si>
    <t>(1/01/16 au 31/12/16)</t>
  </si>
  <si>
    <t>(1/01/17 au 31/12/17)</t>
  </si>
  <si>
    <t>(1/01/18 au 31/12/18)</t>
  </si>
  <si>
    <t>(1/01/19 au 31/12/19)</t>
  </si>
  <si>
    <t>2001-2002</t>
  </si>
  <si>
    <t>1999-2001</t>
  </si>
  <si>
    <t>1994-1999</t>
  </si>
  <si>
    <t>1988-1994</t>
  </si>
  <si>
    <t>DATE_DEBUT_PERIODE</t>
  </si>
  <si>
    <t>DATE_FIN_PERIODE</t>
  </si>
  <si>
    <t>1958-1959-1960</t>
  </si>
  <si>
    <t>1963-1964</t>
  </si>
  <si>
    <t>1964-1966</t>
  </si>
  <si>
    <t>1966-1972</t>
  </si>
  <si>
    <t>1972-1974</t>
  </si>
  <si>
    <t>1974-1975</t>
  </si>
  <si>
    <t>1975-1976</t>
  </si>
  <si>
    <t>1980-1981</t>
  </si>
  <si>
    <t>1981-1982</t>
  </si>
  <si>
    <t>1982-1983</t>
  </si>
  <si>
    <t>1983-1984</t>
  </si>
  <si>
    <t>1984-1985</t>
  </si>
  <si>
    <t>1985-1986</t>
  </si>
  <si>
    <t>1986-1988</t>
  </si>
  <si>
    <t>(1-01-73 au 31-10-74)</t>
  </si>
  <si>
    <t>(1-01-77 au 30-06-78)</t>
  </si>
  <si>
    <t>(1-07-78 au 31-12-79)</t>
  </si>
  <si>
    <t>(1-07-86 au 30-06-87)</t>
  </si>
  <si>
    <t>(1-07-87 au 30-09-88)</t>
  </si>
  <si>
    <t>(1/01/06 au 30/06/07)</t>
  </si>
  <si>
    <t>(1/01/18 au 31/12/19)</t>
  </si>
  <si>
    <t>1973-1974</t>
  </si>
  <si>
    <t>GENERAL</t>
  </si>
  <si>
    <t>CADRE</t>
  </si>
  <si>
    <t>NA</t>
  </si>
  <si>
    <t>DATE DEBUT</t>
  </si>
  <si>
    <t>DATE FIN</t>
  </si>
  <si>
    <t>TAUX_CONTRACTUEL_CALC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</si>
</sst>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7" formatCode="0.00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mbria"/>
    </font>
    <font>
      <b/>
      <sz val="12"/>
      <name val="Cambria"/>
    </font>
    <font>
      <sz val="12"/>
      <name val="Cambria"/>
    </font>
    <font>
      <sz val="12"/>
      <color rgb="FF000000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NumberFormat="1" applyFont="1" applyBorder="1"/>
    <xf numFmtId="0" fontId="3" fillId="0" borderId="1" xfId="0" applyFont="1" applyBorder="1"/>
    <xf numFmtId="3" fontId="5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0" fillId="0" borderId="0" xfId="0" applyNumberFormat="1"/>
    <xf numFmtId="167" fontId="3" fillId="0" borderId="1" xfId="0" applyNumberFormat="1" applyFont="1" applyBorder="1"/>
    <xf numFmtId="167" fontId="5" fillId="0" borderId="1" xfId="0" applyNumberFormat="1" applyFont="1" applyBorder="1" applyAlignment="1">
      <alignment horizontal="center"/>
    </xf>
    <xf numFmtId="167" fontId="3" fillId="0" borderId="0" xfId="0" applyNumberFormat="1" applyFont="1"/>
    <xf numFmtId="167" fontId="0" fillId="0" borderId="0" xfId="0" applyNumberFormat="1"/>
    <xf numFmtId="164" fontId="3" fillId="0" borderId="1" xfId="0" applyNumberFormat="1" applyFont="1" applyBorder="1"/>
    <xf numFmtId="164" fontId="3" fillId="0" borderId="0" xfId="0" applyNumberFormat="1" applyFont="1"/>
  </cellXfs>
  <cellStyles count="9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opLeftCell="D1" workbookViewId="0">
      <selection activeCell="F4" sqref="F4"/>
    </sheetView>
  </sheetViews>
  <sheetFormatPr baseColWidth="10" defaultRowHeight="15.6" x14ac:dyDescent="0.3"/>
  <cols>
    <col min="1" max="1" width="13.5" bestFit="1" customWidth="1"/>
    <col min="2" max="2" width="15.59765625" bestFit="1" customWidth="1"/>
    <col min="3" max="4" width="16.5" style="14" customWidth="1"/>
    <col min="5" max="6" width="25.796875" customWidth="1"/>
    <col min="7" max="7" width="21.69921875" style="18" customWidth="1"/>
    <col min="8" max="8" width="26.796875" customWidth="1"/>
    <col min="9" max="9" width="27.5" customWidth="1"/>
    <col min="10" max="10" width="26.796875" customWidth="1"/>
  </cols>
  <sheetData>
    <row r="1" spans="1:10" x14ac:dyDescent="0.3">
      <c r="A1" s="8" t="s">
        <v>1</v>
      </c>
      <c r="B1" s="9" t="s">
        <v>0</v>
      </c>
      <c r="C1" s="19" t="s">
        <v>86</v>
      </c>
      <c r="D1" s="19" t="s">
        <v>87</v>
      </c>
      <c r="E1" s="9" t="s">
        <v>2</v>
      </c>
      <c r="F1" s="9" t="s">
        <v>88</v>
      </c>
      <c r="G1" s="15" t="s">
        <v>3</v>
      </c>
      <c r="H1" s="9" t="s">
        <v>4</v>
      </c>
      <c r="I1" s="9" t="s">
        <v>6</v>
      </c>
      <c r="J1" s="9" t="s">
        <v>5</v>
      </c>
    </row>
    <row r="2" spans="1:10" x14ac:dyDescent="0.3">
      <c r="A2" s="8" t="s">
        <v>83</v>
      </c>
      <c r="B2" s="4">
        <v>1958</v>
      </c>
      <c r="C2" s="12">
        <f>DATE(B2,1,1)</f>
        <v>21186</v>
      </c>
      <c r="D2" s="12">
        <f>DATE(B2,12,31)</f>
        <v>21550</v>
      </c>
      <c r="E2" s="4">
        <v>113</v>
      </c>
      <c r="F2" s="4">
        <f>G2*100</f>
        <v>9</v>
      </c>
      <c r="G2" s="16">
        <v>0.09</v>
      </c>
      <c r="H2" s="3">
        <v>796</v>
      </c>
      <c r="I2" s="10">
        <v>300000</v>
      </c>
      <c r="J2" s="9">
        <v>239</v>
      </c>
    </row>
    <row r="3" spans="1:10" x14ac:dyDescent="0.3">
      <c r="A3" s="8" t="s">
        <v>83</v>
      </c>
      <c r="B3" s="4">
        <v>1959</v>
      </c>
      <c r="C3" s="12">
        <f t="shared" ref="C3:C66" si="0">DATE(B3,1,1)</f>
        <v>21551</v>
      </c>
      <c r="D3" s="12">
        <f t="shared" ref="D3:D66" si="1">DATE(B3,12,31)</f>
        <v>21915</v>
      </c>
      <c r="E3" s="4">
        <v>113</v>
      </c>
      <c r="F3" s="4">
        <f t="shared" ref="F3:F66" si="2">G3*100</f>
        <v>9</v>
      </c>
      <c r="G3" s="16">
        <v>0.09</v>
      </c>
      <c r="H3" s="3">
        <v>796</v>
      </c>
      <c r="I3" s="10">
        <v>300000</v>
      </c>
      <c r="J3" s="9">
        <v>239</v>
      </c>
    </row>
    <row r="4" spans="1:10" x14ac:dyDescent="0.3">
      <c r="A4" s="8" t="s">
        <v>83</v>
      </c>
      <c r="B4" s="4">
        <v>1960</v>
      </c>
      <c r="C4" s="12">
        <f t="shared" si="0"/>
        <v>21916</v>
      </c>
      <c r="D4" s="12">
        <f t="shared" si="1"/>
        <v>22281</v>
      </c>
      <c r="E4" s="4">
        <v>130</v>
      </c>
      <c r="F4" s="4">
        <f t="shared" si="2"/>
        <v>9</v>
      </c>
      <c r="G4" s="16">
        <v>0.09</v>
      </c>
      <c r="H4" s="3">
        <v>692</v>
      </c>
      <c r="I4" s="10">
        <v>300000</v>
      </c>
      <c r="J4" s="9">
        <v>208</v>
      </c>
    </row>
    <row r="5" spans="1:10" x14ac:dyDescent="0.3">
      <c r="A5" s="8" t="s">
        <v>83</v>
      </c>
      <c r="B5" s="4">
        <v>1961</v>
      </c>
      <c r="C5" s="12">
        <f t="shared" si="0"/>
        <v>22282</v>
      </c>
      <c r="D5" s="12">
        <f t="shared" si="1"/>
        <v>22646</v>
      </c>
      <c r="E5" s="4">
        <v>135</v>
      </c>
      <c r="F5" s="4">
        <f t="shared" si="2"/>
        <v>9</v>
      </c>
      <c r="G5" s="16">
        <v>0.09</v>
      </c>
      <c r="H5" s="3">
        <v>667</v>
      </c>
      <c r="I5" s="10">
        <v>360000</v>
      </c>
      <c r="J5" s="9">
        <v>240</v>
      </c>
    </row>
    <row r="6" spans="1:10" x14ac:dyDescent="0.3">
      <c r="A6" s="8" t="s">
        <v>83</v>
      </c>
      <c r="B6" s="4">
        <v>1962</v>
      </c>
      <c r="C6" s="12">
        <f t="shared" si="0"/>
        <v>22647</v>
      </c>
      <c r="D6" s="12">
        <f t="shared" si="1"/>
        <v>23011</v>
      </c>
      <c r="E6" s="4">
        <v>142</v>
      </c>
      <c r="F6" s="4">
        <f t="shared" si="2"/>
        <v>9</v>
      </c>
      <c r="G6" s="16">
        <v>0.09</v>
      </c>
      <c r="H6" s="3">
        <v>634</v>
      </c>
      <c r="I6" s="10">
        <v>600000</v>
      </c>
      <c r="J6" s="9">
        <v>380</v>
      </c>
    </row>
    <row r="7" spans="1:10" x14ac:dyDescent="0.3">
      <c r="A7" s="8" t="s">
        <v>83</v>
      </c>
      <c r="B7" s="4">
        <v>1963</v>
      </c>
      <c r="C7" s="12">
        <f t="shared" si="0"/>
        <v>23012</v>
      </c>
      <c r="D7" s="12">
        <f t="shared" si="1"/>
        <v>23376</v>
      </c>
      <c r="E7" s="4">
        <v>153</v>
      </c>
      <c r="F7" s="4">
        <f t="shared" si="2"/>
        <v>9</v>
      </c>
      <c r="G7" s="16">
        <v>0.09</v>
      </c>
      <c r="H7" s="3">
        <v>588</v>
      </c>
      <c r="I7" s="10">
        <v>600000</v>
      </c>
      <c r="J7" s="9">
        <v>353</v>
      </c>
    </row>
    <row r="8" spans="1:10" x14ac:dyDescent="0.3">
      <c r="A8" s="8" t="s">
        <v>83</v>
      </c>
      <c r="B8" s="4">
        <v>1964</v>
      </c>
      <c r="C8" s="12">
        <f t="shared" si="0"/>
        <v>23377</v>
      </c>
      <c r="D8" s="12">
        <f t="shared" si="1"/>
        <v>23742</v>
      </c>
      <c r="E8" s="4">
        <v>153</v>
      </c>
      <c r="F8" s="4">
        <f t="shared" si="2"/>
        <v>9</v>
      </c>
      <c r="G8" s="16">
        <v>0.09</v>
      </c>
      <c r="H8" s="3">
        <v>588</v>
      </c>
      <c r="I8" s="10">
        <v>600000</v>
      </c>
      <c r="J8" s="9">
        <v>353</v>
      </c>
    </row>
    <row r="9" spans="1:10" x14ac:dyDescent="0.3">
      <c r="A9" s="8" t="s">
        <v>83</v>
      </c>
      <c r="B9" s="4">
        <v>1965</v>
      </c>
      <c r="C9" s="12">
        <f t="shared" si="0"/>
        <v>23743</v>
      </c>
      <c r="D9" s="12">
        <f t="shared" si="1"/>
        <v>24107</v>
      </c>
      <c r="E9" s="4">
        <v>159</v>
      </c>
      <c r="F9" s="4">
        <f t="shared" si="2"/>
        <v>9</v>
      </c>
      <c r="G9" s="16">
        <v>0.09</v>
      </c>
      <c r="H9" s="3">
        <v>566</v>
      </c>
      <c r="I9" s="10">
        <v>720000</v>
      </c>
      <c r="J9" s="9">
        <v>408</v>
      </c>
    </row>
    <row r="10" spans="1:10" x14ac:dyDescent="0.3">
      <c r="A10" s="8" t="s">
        <v>83</v>
      </c>
      <c r="B10" s="4">
        <v>1966</v>
      </c>
      <c r="C10" s="12">
        <f t="shared" si="0"/>
        <v>24108</v>
      </c>
      <c r="D10" s="12">
        <f t="shared" si="1"/>
        <v>24472</v>
      </c>
      <c r="E10" s="4">
        <v>159</v>
      </c>
      <c r="F10" s="4">
        <f t="shared" si="2"/>
        <v>9</v>
      </c>
      <c r="G10" s="16">
        <v>0.09</v>
      </c>
      <c r="H10" s="3">
        <v>566</v>
      </c>
      <c r="I10" s="10">
        <v>720000</v>
      </c>
      <c r="J10" s="9">
        <v>408</v>
      </c>
    </row>
    <row r="11" spans="1:10" x14ac:dyDescent="0.3">
      <c r="A11" s="8" t="s">
        <v>83</v>
      </c>
      <c r="B11" s="4">
        <v>1967</v>
      </c>
      <c r="C11" s="12">
        <f t="shared" si="0"/>
        <v>24473</v>
      </c>
      <c r="D11" s="12">
        <f t="shared" si="1"/>
        <v>24837</v>
      </c>
      <c r="E11" s="4">
        <v>159</v>
      </c>
      <c r="F11" s="4">
        <f t="shared" si="2"/>
        <v>9</v>
      </c>
      <c r="G11" s="16">
        <v>0.09</v>
      </c>
      <c r="H11" s="3">
        <v>566</v>
      </c>
      <c r="I11" s="10">
        <v>720000</v>
      </c>
      <c r="J11" s="9">
        <v>408</v>
      </c>
    </row>
    <row r="12" spans="1:10" x14ac:dyDescent="0.3">
      <c r="A12" s="8" t="s">
        <v>83</v>
      </c>
      <c r="B12" s="4">
        <v>1968</v>
      </c>
      <c r="C12" s="12">
        <f t="shared" si="0"/>
        <v>24838</v>
      </c>
      <c r="D12" s="12">
        <f t="shared" si="1"/>
        <v>25203</v>
      </c>
      <c r="E12" s="4">
        <v>159</v>
      </c>
      <c r="F12" s="4">
        <f t="shared" si="2"/>
        <v>9</v>
      </c>
      <c r="G12" s="16">
        <v>0.09</v>
      </c>
      <c r="H12" s="3">
        <v>566</v>
      </c>
      <c r="I12" s="10">
        <v>720000</v>
      </c>
      <c r="J12" s="9">
        <v>408</v>
      </c>
    </row>
    <row r="13" spans="1:10" x14ac:dyDescent="0.3">
      <c r="A13" s="8" t="s">
        <v>83</v>
      </c>
      <c r="B13" s="4">
        <v>1969</v>
      </c>
      <c r="C13" s="12">
        <f t="shared" si="0"/>
        <v>25204</v>
      </c>
      <c r="D13" s="12">
        <f t="shared" si="1"/>
        <v>25568</v>
      </c>
      <c r="E13" s="4">
        <v>159</v>
      </c>
      <c r="F13" s="4">
        <f t="shared" si="2"/>
        <v>9</v>
      </c>
      <c r="G13" s="16">
        <v>0.09</v>
      </c>
      <c r="H13" s="3">
        <v>566</v>
      </c>
      <c r="I13" s="10">
        <v>720000</v>
      </c>
      <c r="J13" s="9">
        <v>408</v>
      </c>
    </row>
    <row r="14" spans="1:10" x14ac:dyDescent="0.3">
      <c r="A14" s="8" t="s">
        <v>83</v>
      </c>
      <c r="B14" s="4">
        <v>1970</v>
      </c>
      <c r="C14" s="12">
        <f t="shared" si="0"/>
        <v>25569</v>
      </c>
      <c r="D14" s="12">
        <f t="shared" si="1"/>
        <v>25933</v>
      </c>
      <c r="E14" s="4">
        <v>159</v>
      </c>
      <c r="F14" s="4">
        <f t="shared" si="2"/>
        <v>9</v>
      </c>
      <c r="G14" s="16">
        <v>0.09</v>
      </c>
      <c r="H14" s="3">
        <v>566</v>
      </c>
      <c r="I14" s="10">
        <v>720000</v>
      </c>
      <c r="J14" s="9">
        <v>408</v>
      </c>
    </row>
    <row r="15" spans="1:10" x14ac:dyDescent="0.3">
      <c r="A15" s="8" t="s">
        <v>83</v>
      </c>
      <c r="B15" s="4">
        <v>1971</v>
      </c>
      <c r="C15" s="12">
        <f t="shared" si="0"/>
        <v>25934</v>
      </c>
      <c r="D15" s="12">
        <f t="shared" si="1"/>
        <v>26298</v>
      </c>
      <c r="E15" s="4">
        <v>193</v>
      </c>
      <c r="F15" s="4">
        <f t="shared" si="2"/>
        <v>9</v>
      </c>
      <c r="G15" s="16">
        <v>0.09</v>
      </c>
      <c r="H15" s="3">
        <v>466</v>
      </c>
      <c r="I15" s="10">
        <v>720000</v>
      </c>
      <c r="J15" s="9">
        <v>336</v>
      </c>
    </row>
    <row r="16" spans="1:10" x14ac:dyDescent="0.3">
      <c r="A16" s="8" t="s">
        <v>83</v>
      </c>
      <c r="B16" s="4">
        <v>1972</v>
      </c>
      <c r="C16" s="12">
        <f t="shared" si="0"/>
        <v>26299</v>
      </c>
      <c r="D16" s="12">
        <f t="shared" si="1"/>
        <v>26664</v>
      </c>
      <c r="E16" s="4">
        <v>193</v>
      </c>
      <c r="F16" s="4">
        <f t="shared" si="2"/>
        <v>8.75</v>
      </c>
      <c r="G16" s="16">
        <v>8.7499999999999994E-2</v>
      </c>
      <c r="H16" s="3">
        <v>453</v>
      </c>
      <c r="I16" s="10">
        <v>720000</v>
      </c>
      <c r="J16" s="9">
        <v>326</v>
      </c>
    </row>
    <row r="17" spans="1:10" x14ac:dyDescent="0.3">
      <c r="A17" s="8" t="s">
        <v>83</v>
      </c>
      <c r="B17" s="4">
        <v>1973</v>
      </c>
      <c r="C17" s="12">
        <f t="shared" si="0"/>
        <v>26665</v>
      </c>
      <c r="D17" s="12">
        <f t="shared" si="1"/>
        <v>27029</v>
      </c>
      <c r="E17" s="4">
        <v>193</v>
      </c>
      <c r="F17" s="4">
        <f t="shared" si="2"/>
        <v>8</v>
      </c>
      <c r="G17" s="16">
        <v>0.08</v>
      </c>
      <c r="H17" s="3">
        <v>415</v>
      </c>
      <c r="I17" s="10">
        <v>720000</v>
      </c>
      <c r="J17" s="9">
        <v>298</v>
      </c>
    </row>
    <row r="18" spans="1:10" x14ac:dyDescent="0.3">
      <c r="A18" s="8" t="s">
        <v>83</v>
      </c>
      <c r="B18" s="4">
        <v>1974</v>
      </c>
      <c r="C18" s="12">
        <f t="shared" si="0"/>
        <v>27030</v>
      </c>
      <c r="D18" s="12">
        <f t="shared" si="1"/>
        <v>27394</v>
      </c>
      <c r="E18" s="4">
        <v>209</v>
      </c>
      <c r="F18" s="4">
        <f t="shared" si="2"/>
        <v>8</v>
      </c>
      <c r="G18" s="16">
        <v>0.08</v>
      </c>
      <c r="H18" s="3">
        <v>383</v>
      </c>
      <c r="I18" s="10">
        <v>720000</v>
      </c>
      <c r="J18" s="9">
        <v>276</v>
      </c>
    </row>
    <row r="19" spans="1:10" x14ac:dyDescent="0.3">
      <c r="A19" s="8" t="s">
        <v>83</v>
      </c>
      <c r="B19" s="4">
        <v>1975</v>
      </c>
      <c r="C19" s="12">
        <f t="shared" si="0"/>
        <v>27395</v>
      </c>
      <c r="D19" s="12">
        <f t="shared" si="1"/>
        <v>27759</v>
      </c>
      <c r="E19" s="4">
        <v>250</v>
      </c>
      <c r="F19" s="4">
        <f t="shared" si="2"/>
        <v>8</v>
      </c>
      <c r="G19" s="16">
        <v>0.08</v>
      </c>
      <c r="H19" s="3">
        <v>320</v>
      </c>
      <c r="I19" s="10">
        <v>720000</v>
      </c>
      <c r="J19" s="9">
        <v>230</v>
      </c>
    </row>
    <row r="20" spans="1:10" x14ac:dyDescent="0.3">
      <c r="A20" s="8" t="s">
        <v>83</v>
      </c>
      <c r="B20" s="4">
        <v>1976</v>
      </c>
      <c r="C20" s="12">
        <f t="shared" si="0"/>
        <v>27760</v>
      </c>
      <c r="D20" s="12">
        <f t="shared" si="1"/>
        <v>28125</v>
      </c>
      <c r="E20" s="4">
        <v>290</v>
      </c>
      <c r="F20" s="4">
        <f t="shared" si="2"/>
        <v>8</v>
      </c>
      <c r="G20" s="16">
        <v>0.08</v>
      </c>
      <c r="H20" s="3">
        <v>276</v>
      </c>
      <c r="I20" s="10">
        <v>720000</v>
      </c>
      <c r="J20" s="9">
        <v>199</v>
      </c>
    </row>
    <row r="21" spans="1:10" x14ac:dyDescent="0.3">
      <c r="A21" s="8" t="s">
        <v>83</v>
      </c>
      <c r="B21" s="4">
        <v>1977</v>
      </c>
      <c r="C21" s="12">
        <f t="shared" si="0"/>
        <v>28126</v>
      </c>
      <c r="D21" s="12">
        <f t="shared" si="1"/>
        <v>28490</v>
      </c>
      <c r="E21" s="4">
        <v>339</v>
      </c>
      <c r="F21" s="4">
        <f t="shared" si="2"/>
        <v>8</v>
      </c>
      <c r="G21" s="16">
        <v>0.08</v>
      </c>
      <c r="H21" s="3">
        <v>236</v>
      </c>
      <c r="I21" s="10">
        <v>720000</v>
      </c>
      <c r="J21" s="9">
        <v>170</v>
      </c>
    </row>
    <row r="22" spans="1:10" x14ac:dyDescent="0.3">
      <c r="A22" s="8" t="s">
        <v>83</v>
      </c>
      <c r="B22" s="4">
        <v>1978</v>
      </c>
      <c r="C22" s="12">
        <f t="shared" si="0"/>
        <v>28491</v>
      </c>
      <c r="D22" s="12">
        <f t="shared" si="1"/>
        <v>28855</v>
      </c>
      <c r="E22" s="4">
        <v>357</v>
      </c>
      <c r="F22" s="4">
        <f t="shared" si="2"/>
        <v>8</v>
      </c>
      <c r="G22" s="16">
        <v>0.08</v>
      </c>
      <c r="H22" s="3">
        <v>224</v>
      </c>
      <c r="I22" s="10">
        <v>840000</v>
      </c>
      <c r="J22" s="9">
        <v>188</v>
      </c>
    </row>
    <row r="23" spans="1:10" x14ac:dyDescent="0.3">
      <c r="A23" s="8" t="s">
        <v>83</v>
      </c>
      <c r="B23" s="4">
        <v>1979</v>
      </c>
      <c r="C23" s="12">
        <f t="shared" si="0"/>
        <v>28856</v>
      </c>
      <c r="D23" s="12">
        <f t="shared" si="1"/>
        <v>29220</v>
      </c>
      <c r="E23" s="4">
        <v>391</v>
      </c>
      <c r="F23" s="4">
        <f t="shared" si="2"/>
        <v>8</v>
      </c>
      <c r="G23" s="16">
        <v>0.08</v>
      </c>
      <c r="H23" s="3">
        <v>204</v>
      </c>
      <c r="I23" s="10">
        <v>960000</v>
      </c>
      <c r="J23" s="9">
        <v>196</v>
      </c>
    </row>
    <row r="24" spans="1:10" x14ac:dyDescent="0.3">
      <c r="A24" s="8" t="s">
        <v>83</v>
      </c>
      <c r="B24" s="4">
        <v>1980</v>
      </c>
      <c r="C24" s="12">
        <f t="shared" si="0"/>
        <v>29221</v>
      </c>
      <c r="D24" s="12">
        <f t="shared" si="1"/>
        <v>29586</v>
      </c>
      <c r="E24" s="4">
        <v>430</v>
      </c>
      <c r="F24" s="4">
        <f t="shared" si="2"/>
        <v>8</v>
      </c>
      <c r="G24" s="16">
        <v>0.08</v>
      </c>
      <c r="H24" s="3">
        <v>186</v>
      </c>
      <c r="I24" s="10">
        <v>960000</v>
      </c>
      <c r="J24" s="9">
        <v>179</v>
      </c>
    </row>
    <row r="25" spans="1:10" x14ac:dyDescent="0.3">
      <c r="A25" s="8" t="s">
        <v>83</v>
      </c>
      <c r="B25" s="4">
        <v>1981</v>
      </c>
      <c r="C25" s="12">
        <f t="shared" si="0"/>
        <v>29587</v>
      </c>
      <c r="D25" s="12">
        <f t="shared" si="1"/>
        <v>29951</v>
      </c>
      <c r="E25" s="4">
        <v>465</v>
      </c>
      <c r="F25" s="4">
        <f t="shared" si="2"/>
        <v>8</v>
      </c>
      <c r="G25" s="16">
        <v>0.08</v>
      </c>
      <c r="H25" s="3">
        <v>172</v>
      </c>
      <c r="I25" s="10">
        <v>1122000</v>
      </c>
      <c r="J25" s="9">
        <v>193</v>
      </c>
    </row>
    <row r="26" spans="1:10" x14ac:dyDescent="0.3">
      <c r="A26" s="8" t="s">
        <v>83</v>
      </c>
      <c r="B26" s="4">
        <v>1982</v>
      </c>
      <c r="C26" s="12">
        <f t="shared" si="0"/>
        <v>29952</v>
      </c>
      <c r="D26" s="12">
        <f t="shared" si="1"/>
        <v>30316</v>
      </c>
      <c r="E26" s="4">
        <v>542</v>
      </c>
      <c r="F26" s="4">
        <f t="shared" si="2"/>
        <v>8</v>
      </c>
      <c r="G26" s="16">
        <v>0.08</v>
      </c>
      <c r="H26" s="3">
        <v>147</v>
      </c>
      <c r="I26" s="10">
        <v>1350000</v>
      </c>
      <c r="J26" s="9">
        <v>199</v>
      </c>
    </row>
    <row r="27" spans="1:10" x14ac:dyDescent="0.3">
      <c r="A27" s="8" t="s">
        <v>83</v>
      </c>
      <c r="B27" s="4">
        <v>1983</v>
      </c>
      <c r="C27" s="12">
        <f t="shared" si="0"/>
        <v>30317</v>
      </c>
      <c r="D27" s="12">
        <f t="shared" si="1"/>
        <v>30681</v>
      </c>
      <c r="E27" s="4">
        <v>600</v>
      </c>
      <c r="F27" s="4">
        <f t="shared" si="2"/>
        <v>8</v>
      </c>
      <c r="G27" s="16">
        <v>0.08</v>
      </c>
      <c r="H27" s="3">
        <v>133</v>
      </c>
      <c r="I27" s="10">
        <v>1476000</v>
      </c>
      <c r="J27" s="9">
        <v>197</v>
      </c>
    </row>
    <row r="28" spans="1:10" x14ac:dyDescent="0.3">
      <c r="A28" s="8" t="s">
        <v>83</v>
      </c>
      <c r="B28" s="4">
        <v>1984</v>
      </c>
      <c r="C28" s="12">
        <f t="shared" si="0"/>
        <v>30682</v>
      </c>
      <c r="D28" s="12">
        <f t="shared" si="1"/>
        <v>31047</v>
      </c>
      <c r="E28" s="4">
        <v>658</v>
      </c>
      <c r="F28" s="4">
        <f t="shared" si="2"/>
        <v>8</v>
      </c>
      <c r="G28" s="16">
        <v>0.08</v>
      </c>
      <c r="H28" s="3">
        <v>122</v>
      </c>
      <c r="I28" s="10">
        <v>1668000</v>
      </c>
      <c r="J28" s="9">
        <v>203</v>
      </c>
    </row>
    <row r="29" spans="1:10" x14ac:dyDescent="0.3">
      <c r="A29" s="8" t="s">
        <v>83</v>
      </c>
      <c r="B29" s="4">
        <v>1985</v>
      </c>
      <c r="C29" s="12">
        <f t="shared" si="0"/>
        <v>31048</v>
      </c>
      <c r="D29" s="12">
        <f t="shared" si="1"/>
        <v>31412</v>
      </c>
      <c r="E29" s="4">
        <v>727</v>
      </c>
      <c r="F29" s="4">
        <f t="shared" si="2"/>
        <v>8</v>
      </c>
      <c r="G29" s="16">
        <v>0.08</v>
      </c>
      <c r="H29" s="3">
        <v>110</v>
      </c>
      <c r="I29" s="10">
        <v>1890000</v>
      </c>
      <c r="J29" s="9">
        <v>208</v>
      </c>
    </row>
    <row r="30" spans="1:10" x14ac:dyDescent="0.3">
      <c r="A30" s="8" t="s">
        <v>83</v>
      </c>
      <c r="B30" s="4">
        <v>1986</v>
      </c>
      <c r="C30" s="12">
        <f t="shared" si="0"/>
        <v>31413</v>
      </c>
      <c r="D30" s="12">
        <f t="shared" si="1"/>
        <v>31777</v>
      </c>
      <c r="E30" s="4">
        <v>734</v>
      </c>
      <c r="F30" s="4">
        <f t="shared" si="2"/>
        <v>8</v>
      </c>
      <c r="G30" s="16">
        <v>0.08</v>
      </c>
      <c r="H30" s="3">
        <v>109</v>
      </c>
      <c r="I30" s="10">
        <v>2076000</v>
      </c>
      <c r="J30" s="9">
        <v>226</v>
      </c>
    </row>
    <row r="31" spans="1:10" x14ac:dyDescent="0.3">
      <c r="A31" s="8" t="s">
        <v>83</v>
      </c>
      <c r="B31" s="4">
        <v>1987</v>
      </c>
      <c r="C31" s="12">
        <f t="shared" si="0"/>
        <v>31778</v>
      </c>
      <c r="D31" s="12">
        <f t="shared" si="1"/>
        <v>32142</v>
      </c>
      <c r="E31" s="4">
        <v>769</v>
      </c>
      <c r="F31" s="4">
        <f t="shared" si="2"/>
        <v>8</v>
      </c>
      <c r="G31" s="16">
        <v>0.08</v>
      </c>
      <c r="H31" s="3">
        <v>104</v>
      </c>
      <c r="I31" s="10">
        <v>2202000</v>
      </c>
      <c r="J31" s="9">
        <v>229</v>
      </c>
    </row>
    <row r="32" spans="1:10" x14ac:dyDescent="0.3">
      <c r="A32" s="8" t="s">
        <v>83</v>
      </c>
      <c r="B32" s="4">
        <v>1988</v>
      </c>
      <c r="C32" s="12">
        <f t="shared" si="0"/>
        <v>32143</v>
      </c>
      <c r="D32" s="12">
        <f t="shared" si="1"/>
        <v>32508</v>
      </c>
      <c r="E32" s="4">
        <v>800</v>
      </c>
      <c r="F32" s="4">
        <f t="shared" si="2"/>
        <v>8</v>
      </c>
      <c r="G32" s="16">
        <v>0.08</v>
      </c>
      <c r="H32" s="3">
        <v>100</v>
      </c>
      <c r="I32" s="10">
        <v>2304000</v>
      </c>
      <c r="J32" s="9">
        <v>230</v>
      </c>
    </row>
    <row r="33" spans="1:10" x14ac:dyDescent="0.3">
      <c r="A33" s="8" t="s">
        <v>83</v>
      </c>
      <c r="B33" s="4">
        <v>1989</v>
      </c>
      <c r="C33" s="12">
        <f t="shared" si="0"/>
        <v>32509</v>
      </c>
      <c r="D33" s="12">
        <f t="shared" si="1"/>
        <v>32873</v>
      </c>
      <c r="E33" s="4">
        <v>800</v>
      </c>
      <c r="F33" s="4">
        <f t="shared" si="2"/>
        <v>8</v>
      </c>
      <c r="G33" s="16">
        <v>0.08</v>
      </c>
      <c r="H33" s="3">
        <v>100</v>
      </c>
      <c r="I33" s="10">
        <v>2376000</v>
      </c>
      <c r="J33" s="9">
        <v>238</v>
      </c>
    </row>
    <row r="34" spans="1:10" x14ac:dyDescent="0.3">
      <c r="A34" s="8" t="s">
        <v>83</v>
      </c>
      <c r="B34" s="4">
        <v>1990</v>
      </c>
      <c r="C34" s="12">
        <f t="shared" si="0"/>
        <v>32874</v>
      </c>
      <c r="D34" s="12">
        <f t="shared" si="1"/>
        <v>33238</v>
      </c>
      <c r="E34" s="4">
        <v>800</v>
      </c>
      <c r="F34" s="4">
        <f t="shared" si="2"/>
        <v>8</v>
      </c>
      <c r="G34" s="16">
        <v>0.08</v>
      </c>
      <c r="H34" s="3">
        <v>100</v>
      </c>
      <c r="I34" s="10">
        <v>2376000</v>
      </c>
      <c r="J34" s="9">
        <v>238</v>
      </c>
    </row>
    <row r="35" spans="1:10" x14ac:dyDescent="0.3">
      <c r="A35" s="8" t="s">
        <v>83</v>
      </c>
      <c r="B35" s="4">
        <v>1991</v>
      </c>
      <c r="C35" s="12">
        <f t="shared" si="0"/>
        <v>33239</v>
      </c>
      <c r="D35" s="12">
        <f t="shared" si="1"/>
        <v>33603</v>
      </c>
      <c r="E35" s="4">
        <v>800</v>
      </c>
      <c r="F35" s="4">
        <f t="shared" si="2"/>
        <v>8</v>
      </c>
      <c r="G35" s="16">
        <v>0.08</v>
      </c>
      <c r="H35" s="3">
        <v>100</v>
      </c>
      <c r="I35" s="10">
        <v>2392000</v>
      </c>
      <c r="J35" s="9">
        <v>239</v>
      </c>
    </row>
    <row r="36" spans="1:10" x14ac:dyDescent="0.3">
      <c r="A36" s="8" t="s">
        <v>83</v>
      </c>
      <c r="B36" s="4">
        <v>1992</v>
      </c>
      <c r="C36" s="12">
        <f t="shared" si="0"/>
        <v>33604</v>
      </c>
      <c r="D36" s="12">
        <f t="shared" si="1"/>
        <v>33969</v>
      </c>
      <c r="E36" s="4">
        <v>800</v>
      </c>
      <c r="F36" s="4">
        <f t="shared" si="2"/>
        <v>8</v>
      </c>
      <c r="G36" s="16">
        <v>0.08</v>
      </c>
      <c r="H36" s="3">
        <v>100</v>
      </c>
      <c r="I36" s="10">
        <v>2400000</v>
      </c>
      <c r="J36" s="9">
        <v>240</v>
      </c>
    </row>
    <row r="37" spans="1:10" x14ac:dyDescent="0.3">
      <c r="A37" s="8" t="s">
        <v>83</v>
      </c>
      <c r="B37" s="4">
        <v>1993</v>
      </c>
      <c r="C37" s="12">
        <f t="shared" si="0"/>
        <v>33970</v>
      </c>
      <c r="D37" s="12">
        <f t="shared" si="1"/>
        <v>34334</v>
      </c>
      <c r="E37" s="4">
        <v>800</v>
      </c>
      <c r="F37" s="4">
        <f t="shared" si="2"/>
        <v>8</v>
      </c>
      <c r="G37" s="16">
        <v>0.08</v>
      </c>
      <c r="H37" s="3">
        <v>100</v>
      </c>
      <c r="I37" s="10">
        <v>2400000</v>
      </c>
      <c r="J37" s="9">
        <v>240</v>
      </c>
    </row>
    <row r="38" spans="1:10" x14ac:dyDescent="0.3">
      <c r="A38" s="8" t="s">
        <v>83</v>
      </c>
      <c r="B38" s="4">
        <v>1994</v>
      </c>
      <c r="C38" s="12">
        <f t="shared" si="0"/>
        <v>34335</v>
      </c>
      <c r="D38" s="12">
        <f t="shared" si="1"/>
        <v>34699</v>
      </c>
      <c r="E38" s="4">
        <v>800</v>
      </c>
      <c r="F38" s="4">
        <f t="shared" si="2"/>
        <v>8</v>
      </c>
      <c r="G38" s="16">
        <v>0.08</v>
      </c>
      <c r="H38" s="3">
        <v>100</v>
      </c>
      <c r="I38" s="10">
        <v>2400000</v>
      </c>
      <c r="J38" s="9">
        <v>240</v>
      </c>
    </row>
    <row r="39" spans="1:10" x14ac:dyDescent="0.3">
      <c r="A39" s="8" t="s">
        <v>83</v>
      </c>
      <c r="B39" s="4">
        <v>1995</v>
      </c>
      <c r="C39" s="12">
        <f t="shared" si="0"/>
        <v>34700</v>
      </c>
      <c r="D39" s="12">
        <f t="shared" si="1"/>
        <v>35064</v>
      </c>
      <c r="E39" s="4">
        <v>800</v>
      </c>
      <c r="F39" s="4">
        <f t="shared" si="2"/>
        <v>8</v>
      </c>
      <c r="G39" s="16">
        <v>0.08</v>
      </c>
      <c r="H39" s="3">
        <v>100</v>
      </c>
      <c r="I39" s="10">
        <v>2400000</v>
      </c>
      <c r="J39" s="9">
        <v>240</v>
      </c>
    </row>
    <row r="40" spans="1:10" x14ac:dyDescent="0.3">
      <c r="A40" s="8" t="s">
        <v>83</v>
      </c>
      <c r="B40" s="4">
        <v>1996</v>
      </c>
      <c r="C40" s="12">
        <f t="shared" si="0"/>
        <v>35065</v>
      </c>
      <c r="D40" s="12">
        <f t="shared" si="1"/>
        <v>35430</v>
      </c>
      <c r="E40" s="4">
        <v>800</v>
      </c>
      <c r="F40" s="4">
        <f t="shared" si="2"/>
        <v>8</v>
      </c>
      <c r="G40" s="16">
        <v>0.08</v>
      </c>
      <c r="H40" s="3">
        <v>100</v>
      </c>
      <c r="I40" s="10">
        <v>2400000</v>
      </c>
      <c r="J40" s="9">
        <v>240</v>
      </c>
    </row>
    <row r="41" spans="1:10" x14ac:dyDescent="0.3">
      <c r="A41" s="8" t="s">
        <v>83</v>
      </c>
      <c r="B41" s="4">
        <v>1997</v>
      </c>
      <c r="C41" s="12">
        <f t="shared" si="0"/>
        <v>35431</v>
      </c>
      <c r="D41" s="12">
        <f t="shared" si="1"/>
        <v>35795</v>
      </c>
      <c r="E41" s="4">
        <v>800</v>
      </c>
      <c r="F41" s="4">
        <f t="shared" si="2"/>
        <v>8</v>
      </c>
      <c r="G41" s="16">
        <v>0.08</v>
      </c>
      <c r="H41" s="3">
        <v>100</v>
      </c>
      <c r="I41" s="10">
        <v>2400000</v>
      </c>
      <c r="J41" s="9">
        <v>240</v>
      </c>
    </row>
    <row r="42" spans="1:10" x14ac:dyDescent="0.3">
      <c r="A42" s="8" t="s">
        <v>83</v>
      </c>
      <c r="B42" s="4">
        <v>1998</v>
      </c>
      <c r="C42" s="12">
        <f t="shared" si="0"/>
        <v>35796</v>
      </c>
      <c r="D42" s="12">
        <f t="shared" si="1"/>
        <v>36160</v>
      </c>
      <c r="E42" s="4">
        <v>800</v>
      </c>
      <c r="F42" s="4">
        <f t="shared" si="2"/>
        <v>8</v>
      </c>
      <c r="G42" s="16">
        <v>0.08</v>
      </c>
      <c r="H42" s="3">
        <v>100</v>
      </c>
      <c r="I42" s="10">
        <v>2400000</v>
      </c>
      <c r="J42" s="9">
        <v>240</v>
      </c>
    </row>
    <row r="43" spans="1:10" x14ac:dyDescent="0.3">
      <c r="A43" s="8" t="s">
        <v>83</v>
      </c>
      <c r="B43" s="4">
        <v>1999</v>
      </c>
      <c r="C43" s="12">
        <f t="shared" si="0"/>
        <v>36161</v>
      </c>
      <c r="D43" s="12">
        <f t="shared" si="1"/>
        <v>36525</v>
      </c>
      <c r="E43" s="4">
        <v>800</v>
      </c>
      <c r="F43" s="4">
        <f t="shared" si="2"/>
        <v>8</v>
      </c>
      <c r="G43" s="16">
        <v>0.08</v>
      </c>
      <c r="H43" s="3">
        <v>100</v>
      </c>
      <c r="I43" s="10">
        <v>2400000</v>
      </c>
      <c r="J43" s="9">
        <v>240</v>
      </c>
    </row>
    <row r="44" spans="1:10" x14ac:dyDescent="0.3">
      <c r="A44" s="8" t="s">
        <v>83</v>
      </c>
      <c r="B44" s="4">
        <v>2000</v>
      </c>
      <c r="C44" s="12">
        <f t="shared" si="0"/>
        <v>36526</v>
      </c>
      <c r="D44" s="12">
        <f t="shared" si="1"/>
        <v>36891</v>
      </c>
      <c r="E44" s="4">
        <v>800</v>
      </c>
      <c r="F44" s="4">
        <f t="shared" si="2"/>
        <v>8</v>
      </c>
      <c r="G44" s="16">
        <v>0.08</v>
      </c>
      <c r="H44" s="3">
        <v>100</v>
      </c>
      <c r="I44" s="10">
        <v>2400000</v>
      </c>
      <c r="J44" s="9">
        <v>240</v>
      </c>
    </row>
    <row r="45" spans="1:10" x14ac:dyDescent="0.3">
      <c r="A45" s="8" t="s">
        <v>83</v>
      </c>
      <c r="B45" s="4">
        <v>2001</v>
      </c>
      <c r="C45" s="12">
        <f t="shared" si="0"/>
        <v>36892</v>
      </c>
      <c r="D45" s="12">
        <f t="shared" si="1"/>
        <v>37256</v>
      </c>
      <c r="E45" s="4">
        <v>800</v>
      </c>
      <c r="F45" s="4">
        <f t="shared" si="2"/>
        <v>8</v>
      </c>
      <c r="G45" s="16">
        <v>0.08</v>
      </c>
      <c r="H45" s="3">
        <v>100</v>
      </c>
      <c r="I45" s="10">
        <v>2400000</v>
      </c>
      <c r="J45" s="9">
        <v>240</v>
      </c>
    </row>
    <row r="46" spans="1:10" x14ac:dyDescent="0.3">
      <c r="A46" s="8" t="s">
        <v>83</v>
      </c>
      <c r="B46" s="4">
        <v>2002</v>
      </c>
      <c r="C46" s="12">
        <f t="shared" si="0"/>
        <v>37257</v>
      </c>
      <c r="D46" s="12">
        <f t="shared" si="1"/>
        <v>37621</v>
      </c>
      <c r="E46" s="4">
        <v>800</v>
      </c>
      <c r="F46" s="4">
        <f t="shared" si="2"/>
        <v>8</v>
      </c>
      <c r="G46" s="16">
        <v>0.08</v>
      </c>
      <c r="H46" s="3">
        <v>100</v>
      </c>
      <c r="I46" s="10">
        <v>2400000</v>
      </c>
      <c r="J46" s="9">
        <v>240</v>
      </c>
    </row>
    <row r="47" spans="1:10" x14ac:dyDescent="0.3">
      <c r="A47" s="8" t="s">
        <v>83</v>
      </c>
      <c r="B47" s="4">
        <v>2003</v>
      </c>
      <c r="C47" s="12">
        <f t="shared" si="0"/>
        <v>37622</v>
      </c>
      <c r="D47" s="12">
        <f t="shared" si="1"/>
        <v>37986</v>
      </c>
      <c r="E47" s="4">
        <f>E46*1.05</f>
        <v>840</v>
      </c>
      <c r="F47" s="4">
        <f t="shared" si="2"/>
        <v>8</v>
      </c>
      <c r="G47" s="16">
        <v>0.08</v>
      </c>
      <c r="H47" s="3">
        <v>95</v>
      </c>
      <c r="I47" s="10">
        <v>2400000</v>
      </c>
      <c r="J47" s="9">
        <v>229</v>
      </c>
    </row>
    <row r="48" spans="1:10" x14ac:dyDescent="0.3">
      <c r="A48" s="8" t="s">
        <v>83</v>
      </c>
      <c r="B48" s="4">
        <v>2004</v>
      </c>
      <c r="C48" s="12">
        <f t="shared" si="0"/>
        <v>37987</v>
      </c>
      <c r="D48" s="12">
        <f t="shared" si="1"/>
        <v>38352</v>
      </c>
      <c r="E48" s="4">
        <v>885</v>
      </c>
      <c r="F48" s="4">
        <f t="shared" si="2"/>
        <v>8</v>
      </c>
      <c r="G48" s="16">
        <v>0.08</v>
      </c>
      <c r="H48" s="3">
        <v>90</v>
      </c>
      <c r="I48" s="10">
        <v>2520000</v>
      </c>
      <c r="J48" s="9">
        <v>228</v>
      </c>
    </row>
    <row r="49" spans="1:10" x14ac:dyDescent="0.3">
      <c r="A49" s="8" t="s">
        <v>83</v>
      </c>
      <c r="B49" s="4">
        <v>2005</v>
      </c>
      <c r="C49" s="12">
        <f t="shared" si="0"/>
        <v>38353</v>
      </c>
      <c r="D49" s="12">
        <f t="shared" si="1"/>
        <v>38717</v>
      </c>
      <c r="E49" s="10">
        <v>936</v>
      </c>
      <c r="F49" s="4">
        <f t="shared" si="2"/>
        <v>8</v>
      </c>
      <c r="G49" s="16">
        <v>0.08</v>
      </c>
      <c r="H49" s="3">
        <v>85</v>
      </c>
      <c r="I49" s="10">
        <v>2664000</v>
      </c>
      <c r="J49" s="9">
        <v>228</v>
      </c>
    </row>
    <row r="50" spans="1:10" x14ac:dyDescent="0.3">
      <c r="A50" s="8" t="s">
        <v>83</v>
      </c>
      <c r="B50" s="4">
        <v>2006</v>
      </c>
      <c r="C50" s="12">
        <f t="shared" si="0"/>
        <v>38718</v>
      </c>
      <c r="D50" s="12">
        <f t="shared" si="1"/>
        <v>39082</v>
      </c>
      <c r="E50" s="10">
        <v>989</v>
      </c>
      <c r="F50" s="4">
        <f t="shared" si="2"/>
        <v>8</v>
      </c>
      <c r="G50" s="16">
        <v>0.08</v>
      </c>
      <c r="H50" s="3">
        <v>81</v>
      </c>
      <c r="I50" s="10">
        <v>2808000</v>
      </c>
      <c r="J50" s="9">
        <v>227</v>
      </c>
    </row>
    <row r="51" spans="1:10" x14ac:dyDescent="0.3">
      <c r="A51" s="8" t="s">
        <v>83</v>
      </c>
      <c r="B51" s="4">
        <v>2007</v>
      </c>
      <c r="C51" s="12">
        <f t="shared" si="0"/>
        <v>39083</v>
      </c>
      <c r="D51" s="12">
        <f t="shared" si="1"/>
        <v>39447</v>
      </c>
      <c r="E51" s="10">
        <v>1040</v>
      </c>
      <c r="F51" s="4">
        <f t="shared" si="2"/>
        <v>8</v>
      </c>
      <c r="G51" s="16">
        <v>0.08</v>
      </c>
      <c r="H51" s="3">
        <v>77</v>
      </c>
      <c r="I51" s="10">
        <v>2952000</v>
      </c>
      <c r="J51" s="9">
        <v>227</v>
      </c>
    </row>
    <row r="52" spans="1:10" x14ac:dyDescent="0.3">
      <c r="A52" s="8" t="s">
        <v>83</v>
      </c>
      <c r="B52" s="4">
        <v>2008</v>
      </c>
      <c r="C52" s="12">
        <f t="shared" si="0"/>
        <v>39448</v>
      </c>
      <c r="D52" s="12">
        <f t="shared" si="1"/>
        <v>39813</v>
      </c>
      <c r="E52" s="10">
        <v>1083</v>
      </c>
      <c r="F52" s="4">
        <f t="shared" si="2"/>
        <v>8</v>
      </c>
      <c r="G52" s="16">
        <v>0.08</v>
      </c>
      <c r="H52" s="3">
        <v>74</v>
      </c>
      <c r="I52" s="10">
        <v>3072000</v>
      </c>
      <c r="J52" s="9">
        <v>227</v>
      </c>
    </row>
    <row r="53" spans="1:10" x14ac:dyDescent="0.3">
      <c r="A53" s="8" t="s">
        <v>83</v>
      </c>
      <c r="B53" s="4">
        <v>2009</v>
      </c>
      <c r="C53" s="12">
        <f t="shared" si="0"/>
        <v>39814</v>
      </c>
      <c r="D53" s="12">
        <f t="shared" si="1"/>
        <v>40178</v>
      </c>
      <c r="E53" s="10">
        <v>1083</v>
      </c>
      <c r="F53" s="4">
        <f t="shared" si="2"/>
        <v>8</v>
      </c>
      <c r="G53" s="16">
        <v>0.08</v>
      </c>
      <c r="H53" s="3">
        <v>74</v>
      </c>
      <c r="I53" s="10">
        <v>3072000</v>
      </c>
      <c r="J53" s="9">
        <v>227</v>
      </c>
    </row>
    <row r="54" spans="1:10" x14ac:dyDescent="0.3">
      <c r="A54" s="8" t="s">
        <v>83</v>
      </c>
      <c r="B54" s="4">
        <v>2010</v>
      </c>
      <c r="C54" s="12">
        <f t="shared" si="0"/>
        <v>40179</v>
      </c>
      <c r="D54" s="12">
        <f t="shared" si="1"/>
        <v>40543</v>
      </c>
      <c r="E54" s="10">
        <v>1115</v>
      </c>
      <c r="F54" s="4">
        <f t="shared" si="2"/>
        <v>9</v>
      </c>
      <c r="G54" s="16">
        <v>0.09</v>
      </c>
      <c r="H54" s="3">
        <v>81</v>
      </c>
      <c r="I54" s="10">
        <v>3072000</v>
      </c>
      <c r="J54" s="9">
        <v>248</v>
      </c>
    </row>
    <row r="55" spans="1:10" x14ac:dyDescent="0.3">
      <c r="A55" s="8" t="s">
        <v>83</v>
      </c>
      <c r="B55" s="4">
        <v>2011</v>
      </c>
      <c r="C55" s="12">
        <f t="shared" si="0"/>
        <v>40544</v>
      </c>
      <c r="D55" s="12">
        <f t="shared" si="1"/>
        <v>40908</v>
      </c>
      <c r="E55" s="10">
        <v>1115</v>
      </c>
      <c r="F55" s="4">
        <f t="shared" si="2"/>
        <v>9</v>
      </c>
      <c r="G55" s="16">
        <v>0.09</v>
      </c>
      <c r="H55" s="3">
        <v>81</v>
      </c>
      <c r="I55" s="10">
        <v>3072000</v>
      </c>
      <c r="J55" s="9">
        <v>248</v>
      </c>
    </row>
    <row r="56" spans="1:10" x14ac:dyDescent="0.3">
      <c r="A56" s="8" t="s">
        <v>83</v>
      </c>
      <c r="B56" s="4">
        <v>2012</v>
      </c>
      <c r="C56" s="12">
        <f t="shared" si="0"/>
        <v>40909</v>
      </c>
      <c r="D56" s="12">
        <f t="shared" si="1"/>
        <v>41274</v>
      </c>
      <c r="E56" s="10">
        <v>1115</v>
      </c>
      <c r="F56" s="4">
        <f t="shared" si="2"/>
        <v>9</v>
      </c>
      <c r="G56" s="16">
        <v>0.09</v>
      </c>
      <c r="H56" s="3">
        <v>81</v>
      </c>
      <c r="I56" s="10">
        <v>3072000</v>
      </c>
      <c r="J56" s="9">
        <v>248</v>
      </c>
    </row>
    <row r="57" spans="1:10" x14ac:dyDescent="0.3">
      <c r="A57" s="8" t="s">
        <v>83</v>
      </c>
      <c r="B57" s="4">
        <v>2013</v>
      </c>
      <c r="C57" s="12">
        <f t="shared" si="0"/>
        <v>41275</v>
      </c>
      <c r="D57" s="12">
        <f t="shared" si="1"/>
        <v>41639</v>
      </c>
      <c r="E57" s="10">
        <v>1115</v>
      </c>
      <c r="F57" s="4">
        <f t="shared" si="2"/>
        <v>9</v>
      </c>
      <c r="G57" s="16">
        <v>0.09</v>
      </c>
      <c r="H57" s="3">
        <v>81</v>
      </c>
      <c r="I57" s="10">
        <v>3072000</v>
      </c>
      <c r="J57" s="9">
        <v>248</v>
      </c>
    </row>
    <row r="58" spans="1:10" x14ac:dyDescent="0.3">
      <c r="A58" s="8" t="s">
        <v>83</v>
      </c>
      <c r="B58" s="4">
        <v>2014</v>
      </c>
      <c r="C58" s="12">
        <f t="shared" si="0"/>
        <v>41640</v>
      </c>
      <c r="D58" s="12">
        <f t="shared" si="1"/>
        <v>42004</v>
      </c>
      <c r="E58" s="10">
        <v>1115</v>
      </c>
      <c r="F58" s="4">
        <f t="shared" si="2"/>
        <v>9</v>
      </c>
      <c r="G58" s="16">
        <v>0.09</v>
      </c>
      <c r="H58" s="3">
        <v>81</v>
      </c>
      <c r="I58" s="10">
        <v>3072000</v>
      </c>
      <c r="J58" s="9">
        <v>248</v>
      </c>
    </row>
    <row r="59" spans="1:10" x14ac:dyDescent="0.3">
      <c r="A59" s="8" t="s">
        <v>83</v>
      </c>
      <c r="B59" s="4">
        <v>2015</v>
      </c>
      <c r="C59" s="12">
        <f t="shared" si="0"/>
        <v>42005</v>
      </c>
      <c r="D59" s="12">
        <f t="shared" si="1"/>
        <v>42369</v>
      </c>
      <c r="E59" s="10">
        <v>1115</v>
      </c>
      <c r="F59" s="4">
        <f t="shared" si="2"/>
        <v>9</v>
      </c>
      <c r="G59" s="16">
        <v>0.09</v>
      </c>
      <c r="H59" s="3">
        <v>81</v>
      </c>
      <c r="I59" s="10">
        <v>3072000</v>
      </c>
      <c r="J59" s="9">
        <v>248</v>
      </c>
    </row>
    <row r="60" spans="1:10" x14ac:dyDescent="0.3">
      <c r="A60" s="8" t="s">
        <v>83</v>
      </c>
      <c r="B60" s="4">
        <v>2016</v>
      </c>
      <c r="C60" s="12">
        <f t="shared" si="0"/>
        <v>42370</v>
      </c>
      <c r="D60" s="12">
        <f t="shared" si="1"/>
        <v>42735</v>
      </c>
      <c r="E60" s="10">
        <f>(E59*3+E61*9)/12</f>
        <v>1198.25</v>
      </c>
      <c r="F60" s="4">
        <f t="shared" si="2"/>
        <v>9</v>
      </c>
      <c r="G60" s="16">
        <v>0.09</v>
      </c>
      <c r="H60" s="3">
        <v>75</v>
      </c>
      <c r="I60" s="10">
        <v>3468000</v>
      </c>
      <c r="J60" s="9">
        <v>260</v>
      </c>
    </row>
    <row r="61" spans="1:10" x14ac:dyDescent="0.3">
      <c r="A61" s="8" t="s">
        <v>83</v>
      </c>
      <c r="B61" s="4">
        <v>2017</v>
      </c>
      <c r="C61" s="12">
        <f t="shared" si="0"/>
        <v>42736</v>
      </c>
      <c r="D61" s="12">
        <f t="shared" si="1"/>
        <v>43100</v>
      </c>
      <c r="E61" s="10">
        <v>1226</v>
      </c>
      <c r="F61" s="4">
        <f t="shared" si="2"/>
        <v>9</v>
      </c>
      <c r="G61" s="16">
        <v>0.09</v>
      </c>
      <c r="H61" s="3">
        <v>73</v>
      </c>
      <c r="I61" s="10">
        <v>4320000</v>
      </c>
      <c r="J61" s="9">
        <v>317</v>
      </c>
    </row>
    <row r="62" spans="1:10" x14ac:dyDescent="0.3">
      <c r="A62" s="8" t="s">
        <v>83</v>
      </c>
      <c r="B62" s="4">
        <v>2018</v>
      </c>
      <c r="C62" s="12">
        <f t="shared" si="0"/>
        <v>43101</v>
      </c>
      <c r="D62" s="12">
        <f t="shared" si="1"/>
        <v>43465</v>
      </c>
      <c r="E62" s="10">
        <v>1226</v>
      </c>
      <c r="F62" s="4">
        <f t="shared" si="2"/>
        <v>9</v>
      </c>
      <c r="G62" s="16">
        <v>0.09</v>
      </c>
      <c r="H62" s="3">
        <v>73</v>
      </c>
      <c r="I62" s="10">
        <v>4320000</v>
      </c>
      <c r="J62" s="9">
        <v>317</v>
      </c>
    </row>
    <row r="63" spans="1:10" x14ac:dyDescent="0.3">
      <c r="A63" s="8" t="s">
        <v>83</v>
      </c>
      <c r="B63" s="4">
        <v>2019</v>
      </c>
      <c r="C63" s="12">
        <f t="shared" si="0"/>
        <v>43466</v>
      </c>
      <c r="D63" s="12">
        <f t="shared" si="1"/>
        <v>43830</v>
      </c>
      <c r="E63" s="10">
        <v>1226</v>
      </c>
      <c r="F63" s="4">
        <f t="shared" si="2"/>
        <v>9</v>
      </c>
      <c r="G63" s="16">
        <v>0.09</v>
      </c>
      <c r="H63" s="3">
        <v>73</v>
      </c>
      <c r="I63" s="10">
        <v>4320000</v>
      </c>
      <c r="J63" s="9">
        <v>317</v>
      </c>
    </row>
    <row r="64" spans="1:10" x14ac:dyDescent="0.3">
      <c r="A64" s="9" t="s">
        <v>84</v>
      </c>
      <c r="B64" s="4">
        <v>1973</v>
      </c>
      <c r="C64" s="12">
        <f t="shared" si="0"/>
        <v>26665</v>
      </c>
      <c r="D64" s="12">
        <f t="shared" si="1"/>
        <v>27029</v>
      </c>
      <c r="E64" s="4">
        <v>100</v>
      </c>
      <c r="F64" s="4">
        <f t="shared" si="2"/>
        <v>6</v>
      </c>
      <c r="G64" s="16">
        <v>0.06</v>
      </c>
      <c r="H64" s="10">
        <v>600</v>
      </c>
      <c r="I64" s="10">
        <v>2160000</v>
      </c>
      <c r="J64" s="10">
        <v>1296</v>
      </c>
    </row>
    <row r="65" spans="1:10" x14ac:dyDescent="0.3">
      <c r="A65" s="9" t="s">
        <v>84</v>
      </c>
      <c r="B65" s="4">
        <v>1974</v>
      </c>
      <c r="C65" s="12">
        <f t="shared" si="0"/>
        <v>27030</v>
      </c>
      <c r="D65" s="12">
        <f t="shared" si="1"/>
        <v>27394</v>
      </c>
      <c r="E65" s="4">
        <v>125</v>
      </c>
      <c r="F65" s="4">
        <f t="shared" si="2"/>
        <v>6</v>
      </c>
      <c r="G65" s="16">
        <v>0.06</v>
      </c>
      <c r="H65" s="10">
        <v>479.99999999999994</v>
      </c>
      <c r="I65" s="10">
        <v>2160000</v>
      </c>
      <c r="J65" s="10">
        <v>1036.8</v>
      </c>
    </row>
    <row r="66" spans="1:10" x14ac:dyDescent="0.3">
      <c r="A66" s="9" t="s">
        <v>84</v>
      </c>
      <c r="B66" s="4">
        <v>1975</v>
      </c>
      <c r="C66" s="12">
        <f t="shared" si="0"/>
        <v>27395</v>
      </c>
      <c r="D66" s="12">
        <f t="shared" si="1"/>
        <v>27759</v>
      </c>
      <c r="E66" s="4">
        <v>125</v>
      </c>
      <c r="F66" s="4">
        <f t="shared" si="2"/>
        <v>6</v>
      </c>
      <c r="G66" s="16">
        <v>0.06</v>
      </c>
      <c r="H66" s="10">
        <v>479.99999999999994</v>
      </c>
      <c r="I66" s="10">
        <v>2160000</v>
      </c>
      <c r="J66" s="10">
        <v>1036.8</v>
      </c>
    </row>
    <row r="67" spans="1:10" x14ac:dyDescent="0.3">
      <c r="A67" s="9" t="s">
        <v>84</v>
      </c>
      <c r="B67" s="4">
        <v>1976</v>
      </c>
      <c r="C67" s="12">
        <f t="shared" ref="C67:C110" si="3">DATE(B67,1,1)</f>
        <v>27760</v>
      </c>
      <c r="D67" s="12">
        <f t="shared" ref="D67:D110" si="4">DATE(B67,12,31)</f>
        <v>28125</v>
      </c>
      <c r="E67" s="4">
        <v>142</v>
      </c>
      <c r="F67" s="4">
        <f t="shared" ref="F67:F110" si="5">G67*100</f>
        <v>6</v>
      </c>
      <c r="G67" s="16">
        <v>0.06</v>
      </c>
      <c r="H67" s="10">
        <v>422.53521126760558</v>
      </c>
      <c r="I67" s="10">
        <v>2160000</v>
      </c>
      <c r="J67" s="10">
        <v>912.67605633802805</v>
      </c>
    </row>
    <row r="68" spans="1:10" x14ac:dyDescent="0.3">
      <c r="A68" s="9" t="s">
        <v>84</v>
      </c>
      <c r="B68" s="4">
        <v>1977</v>
      </c>
      <c r="C68" s="12">
        <f t="shared" si="3"/>
        <v>28126</v>
      </c>
      <c r="D68" s="12">
        <f t="shared" si="4"/>
        <v>28490</v>
      </c>
      <c r="E68" s="4">
        <v>156</v>
      </c>
      <c r="F68" s="4">
        <f t="shared" si="5"/>
        <v>6</v>
      </c>
      <c r="G68" s="16">
        <v>0.06</v>
      </c>
      <c r="H68" s="10">
        <v>384.61538461538464</v>
      </c>
      <c r="I68" s="10">
        <v>2160000</v>
      </c>
      <c r="J68" s="10">
        <v>830.76923076923083</v>
      </c>
    </row>
    <row r="69" spans="1:10" x14ac:dyDescent="0.3">
      <c r="A69" s="9" t="s">
        <v>84</v>
      </c>
      <c r="B69" s="4">
        <v>1978</v>
      </c>
      <c r="C69" s="12">
        <f t="shared" si="3"/>
        <v>28491</v>
      </c>
      <c r="D69" s="12">
        <f t="shared" si="4"/>
        <v>28855</v>
      </c>
      <c r="E69" s="4">
        <v>162</v>
      </c>
      <c r="F69" s="4">
        <f t="shared" si="5"/>
        <v>6</v>
      </c>
      <c r="G69" s="16">
        <v>0.06</v>
      </c>
      <c r="H69" s="10">
        <v>370.37037037037032</v>
      </c>
      <c r="I69" s="10">
        <v>2520000</v>
      </c>
      <c r="J69" s="10">
        <v>933.33333333333326</v>
      </c>
    </row>
    <row r="70" spans="1:10" x14ac:dyDescent="0.3">
      <c r="A70" s="9" t="s">
        <v>84</v>
      </c>
      <c r="B70" s="4">
        <v>1979</v>
      </c>
      <c r="C70" s="12">
        <f t="shared" si="3"/>
        <v>28856</v>
      </c>
      <c r="D70" s="12">
        <f t="shared" si="4"/>
        <v>29220</v>
      </c>
      <c r="E70" s="4">
        <v>177</v>
      </c>
      <c r="F70" s="4">
        <f t="shared" si="5"/>
        <v>6</v>
      </c>
      <c r="G70" s="16">
        <v>0.06</v>
      </c>
      <c r="H70" s="10">
        <v>338.9830508474576</v>
      </c>
      <c r="I70" s="10">
        <v>2880000</v>
      </c>
      <c r="J70" s="10">
        <v>976.27118644067787</v>
      </c>
    </row>
    <row r="71" spans="1:10" x14ac:dyDescent="0.3">
      <c r="A71" s="9" t="s">
        <v>84</v>
      </c>
      <c r="B71" s="4">
        <v>1980</v>
      </c>
      <c r="C71" s="12">
        <f t="shared" si="3"/>
        <v>29221</v>
      </c>
      <c r="D71" s="12">
        <f t="shared" si="4"/>
        <v>29586</v>
      </c>
      <c r="E71" s="4">
        <v>197</v>
      </c>
      <c r="F71" s="4">
        <f t="shared" si="5"/>
        <v>6</v>
      </c>
      <c r="G71" s="16">
        <v>0.06</v>
      </c>
      <c r="H71" s="10">
        <v>304.56852791878174</v>
      </c>
      <c r="I71" s="10">
        <v>2880000</v>
      </c>
      <c r="J71" s="10">
        <v>877.15736040609147</v>
      </c>
    </row>
    <row r="72" spans="1:10" x14ac:dyDescent="0.3">
      <c r="A72" s="9" t="s">
        <v>84</v>
      </c>
      <c r="B72" s="4">
        <v>1981</v>
      </c>
      <c r="C72" s="12">
        <f t="shared" si="3"/>
        <v>29587</v>
      </c>
      <c r="D72" s="12">
        <f t="shared" si="4"/>
        <v>29951</v>
      </c>
      <c r="E72" s="4">
        <v>222</v>
      </c>
      <c r="F72" s="4">
        <f t="shared" si="5"/>
        <v>6</v>
      </c>
      <c r="G72" s="16">
        <v>0.06</v>
      </c>
      <c r="H72" s="10">
        <v>270.27027027027026</v>
      </c>
      <c r="I72" s="10">
        <v>3366000</v>
      </c>
      <c r="J72" s="10">
        <v>909.72972972972968</v>
      </c>
    </row>
    <row r="73" spans="1:10" x14ac:dyDescent="0.3">
      <c r="A73" s="9" t="s">
        <v>84</v>
      </c>
      <c r="B73" s="4">
        <v>1982</v>
      </c>
      <c r="C73" s="12">
        <f t="shared" si="3"/>
        <v>29952</v>
      </c>
      <c r="D73" s="12">
        <f t="shared" si="4"/>
        <v>30316</v>
      </c>
      <c r="E73" s="4">
        <v>252</v>
      </c>
      <c r="F73" s="4">
        <f t="shared" si="5"/>
        <v>6</v>
      </c>
      <c r="G73" s="16">
        <v>0.06</v>
      </c>
      <c r="H73" s="10">
        <v>238.0952380952381</v>
      </c>
      <c r="I73" s="10">
        <v>4050000</v>
      </c>
      <c r="J73" s="10">
        <v>964.28571428571422</v>
      </c>
    </row>
    <row r="74" spans="1:10" x14ac:dyDescent="0.3">
      <c r="A74" s="9" t="s">
        <v>84</v>
      </c>
      <c r="B74" s="4">
        <v>1983</v>
      </c>
      <c r="C74" s="12">
        <f t="shared" si="3"/>
        <v>30317</v>
      </c>
      <c r="D74" s="12">
        <f t="shared" si="4"/>
        <v>30681</v>
      </c>
      <c r="E74" s="4">
        <v>275</v>
      </c>
      <c r="F74" s="4">
        <f t="shared" si="5"/>
        <v>6</v>
      </c>
      <c r="G74" s="16">
        <v>0.06</v>
      </c>
      <c r="H74" s="10">
        <v>218.18181818181819</v>
      </c>
      <c r="I74" s="10">
        <v>4428000</v>
      </c>
      <c r="J74" s="10">
        <v>966.10909090909092</v>
      </c>
    </row>
    <row r="75" spans="1:10" x14ac:dyDescent="0.3">
      <c r="A75" s="9" t="s">
        <v>84</v>
      </c>
      <c r="B75" s="4">
        <v>1984</v>
      </c>
      <c r="C75" s="12">
        <f t="shared" si="3"/>
        <v>30682</v>
      </c>
      <c r="D75" s="12">
        <f t="shared" si="4"/>
        <v>31047</v>
      </c>
      <c r="E75" s="4">
        <v>311</v>
      </c>
      <c r="F75" s="4">
        <f t="shared" si="5"/>
        <v>6</v>
      </c>
      <c r="G75" s="16">
        <v>0.06</v>
      </c>
      <c r="H75" s="10">
        <v>192.92604501607715</v>
      </c>
      <c r="I75" s="10">
        <v>5004000</v>
      </c>
      <c r="J75" s="10">
        <v>965.40192926045017</v>
      </c>
    </row>
    <row r="76" spans="1:10" x14ac:dyDescent="0.3">
      <c r="A76" s="9" t="s">
        <v>84</v>
      </c>
      <c r="B76" s="4">
        <v>1985</v>
      </c>
      <c r="C76" s="12">
        <f t="shared" si="3"/>
        <v>31048</v>
      </c>
      <c r="D76" s="12">
        <f t="shared" si="4"/>
        <v>31412</v>
      </c>
      <c r="E76" s="4">
        <v>359</v>
      </c>
      <c r="F76" s="4">
        <f t="shared" si="5"/>
        <v>6</v>
      </c>
      <c r="G76" s="16">
        <v>0.06</v>
      </c>
      <c r="H76" s="10">
        <v>167.13091922005572</v>
      </c>
      <c r="I76" s="10">
        <v>5670000</v>
      </c>
      <c r="J76" s="10">
        <v>947.63231197771597</v>
      </c>
    </row>
    <row r="77" spans="1:10" x14ac:dyDescent="0.3">
      <c r="A77" s="9" t="s">
        <v>84</v>
      </c>
      <c r="B77" s="4">
        <v>1986</v>
      </c>
      <c r="C77" s="12">
        <f t="shared" si="3"/>
        <v>31413</v>
      </c>
      <c r="D77" s="12">
        <f t="shared" si="4"/>
        <v>31777</v>
      </c>
      <c r="E77" s="4">
        <v>383</v>
      </c>
      <c r="F77" s="4">
        <f t="shared" si="5"/>
        <v>6</v>
      </c>
      <c r="G77" s="16">
        <v>0.06</v>
      </c>
      <c r="H77" s="10">
        <v>156.65796344647521</v>
      </c>
      <c r="I77" s="10">
        <v>6228000</v>
      </c>
      <c r="J77" s="10">
        <v>975.66579634464767</v>
      </c>
    </row>
    <row r="78" spans="1:10" x14ac:dyDescent="0.3">
      <c r="A78" s="9" t="s">
        <v>84</v>
      </c>
      <c r="B78" s="4">
        <v>1987</v>
      </c>
      <c r="C78" s="12">
        <f t="shared" si="3"/>
        <v>31778</v>
      </c>
      <c r="D78" s="12">
        <f t="shared" si="4"/>
        <v>32142</v>
      </c>
      <c r="E78" s="4">
        <v>390</v>
      </c>
      <c r="F78" s="4">
        <f t="shared" si="5"/>
        <v>6</v>
      </c>
      <c r="G78" s="16">
        <v>0.06</v>
      </c>
      <c r="H78" s="10">
        <v>153.84615384615384</v>
      </c>
      <c r="I78" s="10">
        <v>6606000</v>
      </c>
      <c r="J78" s="10">
        <v>1016.3076923076923</v>
      </c>
    </row>
    <row r="79" spans="1:10" x14ac:dyDescent="0.3">
      <c r="A79" s="9" t="s">
        <v>84</v>
      </c>
      <c r="B79" s="4">
        <v>1988</v>
      </c>
      <c r="C79" s="12">
        <f t="shared" si="3"/>
        <v>32143</v>
      </c>
      <c r="D79" s="12">
        <f t="shared" si="4"/>
        <v>32508</v>
      </c>
      <c r="E79" s="4">
        <v>436</v>
      </c>
      <c r="F79" s="4">
        <f t="shared" si="5"/>
        <v>6</v>
      </c>
      <c r="G79" s="16">
        <v>0.06</v>
      </c>
      <c r="H79" s="10">
        <v>137.61467889908255</v>
      </c>
      <c r="I79" s="10">
        <v>6912000</v>
      </c>
      <c r="J79" s="10">
        <v>951.19266055045853</v>
      </c>
    </row>
    <row r="80" spans="1:10" x14ac:dyDescent="0.3">
      <c r="A80" s="9" t="s">
        <v>84</v>
      </c>
      <c r="B80" s="4">
        <v>1989</v>
      </c>
      <c r="C80" s="12">
        <f t="shared" si="3"/>
        <v>32509</v>
      </c>
      <c r="D80" s="12">
        <f t="shared" si="4"/>
        <v>32873</v>
      </c>
      <c r="E80" s="4">
        <v>436</v>
      </c>
      <c r="F80" s="4">
        <f t="shared" si="5"/>
        <v>6</v>
      </c>
      <c r="G80" s="16">
        <v>0.06</v>
      </c>
      <c r="H80" s="10">
        <v>137.61467889908255</v>
      </c>
      <c r="I80" s="10">
        <v>7128000</v>
      </c>
      <c r="J80" s="10">
        <v>980.9174311926605</v>
      </c>
    </row>
    <row r="81" spans="1:10" x14ac:dyDescent="0.3">
      <c r="A81" s="9" t="s">
        <v>84</v>
      </c>
      <c r="B81" s="4">
        <v>1990</v>
      </c>
      <c r="C81" s="12">
        <f t="shared" si="3"/>
        <v>32874</v>
      </c>
      <c r="D81" s="12">
        <f t="shared" si="4"/>
        <v>33238</v>
      </c>
      <c r="E81" s="4">
        <v>436</v>
      </c>
      <c r="F81" s="4">
        <f t="shared" si="5"/>
        <v>6</v>
      </c>
      <c r="G81" s="16">
        <v>0.06</v>
      </c>
      <c r="H81" s="10">
        <v>137.61467889908255</v>
      </c>
      <c r="I81" s="10">
        <v>7128000</v>
      </c>
      <c r="J81" s="10">
        <v>980.9174311926605</v>
      </c>
    </row>
    <row r="82" spans="1:10" x14ac:dyDescent="0.3">
      <c r="A82" s="9" t="s">
        <v>84</v>
      </c>
      <c r="B82" s="4">
        <v>1991</v>
      </c>
      <c r="C82" s="12">
        <f t="shared" si="3"/>
        <v>33239</v>
      </c>
      <c r="D82" s="12">
        <f t="shared" si="4"/>
        <v>33603</v>
      </c>
      <c r="E82" s="4">
        <v>436</v>
      </c>
      <c r="F82" s="4">
        <f t="shared" si="5"/>
        <v>4.67</v>
      </c>
      <c r="G82" s="16">
        <v>4.6699999999999998E-2</v>
      </c>
      <c r="H82" s="10">
        <v>107.11009174311927</v>
      </c>
      <c r="I82" s="10">
        <v>7176000</v>
      </c>
      <c r="J82" s="10">
        <v>768.6220183486239</v>
      </c>
    </row>
    <row r="83" spans="1:10" x14ac:dyDescent="0.3">
      <c r="A83" s="9" t="s">
        <v>84</v>
      </c>
      <c r="B83" s="4">
        <v>1992</v>
      </c>
      <c r="C83" s="12">
        <f t="shared" si="3"/>
        <v>33604</v>
      </c>
      <c r="D83" s="12">
        <f t="shared" si="4"/>
        <v>33969</v>
      </c>
      <c r="E83" s="4">
        <v>436</v>
      </c>
      <c r="F83" s="4">
        <f t="shared" si="5"/>
        <v>4</v>
      </c>
      <c r="G83" s="16">
        <v>0.04</v>
      </c>
      <c r="H83" s="10">
        <v>91.743119266055047</v>
      </c>
      <c r="I83" s="10">
        <v>7200000</v>
      </c>
      <c r="J83" s="10">
        <v>660.55045871559628</v>
      </c>
    </row>
    <row r="84" spans="1:10" x14ac:dyDescent="0.3">
      <c r="A84" s="9" t="s">
        <v>84</v>
      </c>
      <c r="B84" s="4">
        <v>1993</v>
      </c>
      <c r="C84" s="12">
        <f t="shared" si="3"/>
        <v>33970</v>
      </c>
      <c r="D84" s="12">
        <f t="shared" si="4"/>
        <v>34334</v>
      </c>
      <c r="E84" s="4">
        <v>436</v>
      </c>
      <c r="F84" s="4">
        <f t="shared" si="5"/>
        <v>4</v>
      </c>
      <c r="G84" s="16">
        <v>0.04</v>
      </c>
      <c r="H84" s="10">
        <v>91.743119266055047</v>
      </c>
      <c r="I84" s="10">
        <v>7200000</v>
      </c>
      <c r="J84" s="10">
        <v>660.55045871559628</v>
      </c>
    </row>
    <row r="85" spans="1:10" x14ac:dyDescent="0.3">
      <c r="A85" s="9" t="s">
        <v>84</v>
      </c>
      <c r="B85" s="4">
        <v>1994</v>
      </c>
      <c r="C85" s="12">
        <f t="shared" si="3"/>
        <v>34335</v>
      </c>
      <c r="D85" s="12">
        <f t="shared" si="4"/>
        <v>34699</v>
      </c>
      <c r="E85" s="4">
        <v>436</v>
      </c>
      <c r="F85" s="4">
        <f t="shared" si="5"/>
        <v>4</v>
      </c>
      <c r="G85" s="16">
        <v>0.04</v>
      </c>
      <c r="H85" s="10">
        <v>91.743119266055047</v>
      </c>
      <c r="I85" s="10">
        <v>7200000</v>
      </c>
      <c r="J85" s="10">
        <v>660.55045871559628</v>
      </c>
    </row>
    <row r="86" spans="1:10" x14ac:dyDescent="0.3">
      <c r="A86" s="9" t="s">
        <v>84</v>
      </c>
      <c r="B86" s="4">
        <v>1995</v>
      </c>
      <c r="C86" s="12">
        <f t="shared" si="3"/>
        <v>34700</v>
      </c>
      <c r="D86" s="12">
        <f t="shared" si="4"/>
        <v>35064</v>
      </c>
      <c r="E86" s="4">
        <v>436</v>
      </c>
      <c r="F86" s="4">
        <f t="shared" si="5"/>
        <v>4</v>
      </c>
      <c r="G86" s="16">
        <v>0.04</v>
      </c>
      <c r="H86" s="10">
        <v>91.743119266055047</v>
      </c>
      <c r="I86" s="10">
        <v>7200000</v>
      </c>
      <c r="J86" s="10">
        <v>660.55045871559628</v>
      </c>
    </row>
    <row r="87" spans="1:10" x14ac:dyDescent="0.3">
      <c r="A87" s="9" t="s">
        <v>84</v>
      </c>
      <c r="B87" s="4">
        <v>1996</v>
      </c>
      <c r="C87" s="12">
        <f t="shared" si="3"/>
        <v>35065</v>
      </c>
      <c r="D87" s="12">
        <f t="shared" si="4"/>
        <v>35430</v>
      </c>
      <c r="E87" s="4">
        <v>436</v>
      </c>
      <c r="F87" s="4">
        <f t="shared" si="5"/>
        <v>4</v>
      </c>
      <c r="G87" s="16">
        <v>0.04</v>
      </c>
      <c r="H87" s="10">
        <v>91.743119266055047</v>
      </c>
      <c r="I87" s="10">
        <v>7200000</v>
      </c>
      <c r="J87" s="10">
        <v>660.55045871559628</v>
      </c>
    </row>
    <row r="88" spans="1:10" x14ac:dyDescent="0.3">
      <c r="A88" s="9" t="s">
        <v>84</v>
      </c>
      <c r="B88" s="4">
        <v>1997</v>
      </c>
      <c r="C88" s="12">
        <f t="shared" si="3"/>
        <v>35431</v>
      </c>
      <c r="D88" s="12">
        <f t="shared" si="4"/>
        <v>35795</v>
      </c>
      <c r="E88" s="4">
        <v>436</v>
      </c>
      <c r="F88" s="4">
        <f t="shared" si="5"/>
        <v>4</v>
      </c>
      <c r="G88" s="16">
        <v>0.04</v>
      </c>
      <c r="H88" s="10">
        <v>91.743119266055047</v>
      </c>
      <c r="I88" s="10">
        <v>7200000</v>
      </c>
      <c r="J88" s="10">
        <v>660.55045871559628</v>
      </c>
    </row>
    <row r="89" spans="1:10" x14ac:dyDescent="0.3">
      <c r="A89" s="9" t="s">
        <v>84</v>
      </c>
      <c r="B89" s="4">
        <v>1998</v>
      </c>
      <c r="C89" s="12">
        <f t="shared" si="3"/>
        <v>35796</v>
      </c>
      <c r="D89" s="12">
        <f t="shared" si="4"/>
        <v>36160</v>
      </c>
      <c r="E89" s="4">
        <v>436</v>
      </c>
      <c r="F89" s="4">
        <f t="shared" si="5"/>
        <v>4</v>
      </c>
      <c r="G89" s="16">
        <v>0.04</v>
      </c>
      <c r="H89" s="10">
        <v>91.743119266055047</v>
      </c>
      <c r="I89" s="10">
        <v>7200000</v>
      </c>
      <c r="J89" s="10">
        <v>660.55045871559628</v>
      </c>
    </row>
    <row r="90" spans="1:10" x14ac:dyDescent="0.3">
      <c r="A90" s="9" t="s">
        <v>84</v>
      </c>
      <c r="B90" s="4">
        <v>1999</v>
      </c>
      <c r="C90" s="12">
        <f t="shared" si="3"/>
        <v>36161</v>
      </c>
      <c r="D90" s="12">
        <f t="shared" si="4"/>
        <v>36525</v>
      </c>
      <c r="E90" s="4">
        <v>436</v>
      </c>
      <c r="F90" s="4">
        <f t="shared" si="5"/>
        <v>4</v>
      </c>
      <c r="G90" s="16">
        <v>0.04</v>
      </c>
      <c r="H90" s="10">
        <v>91.743119266055047</v>
      </c>
      <c r="I90" s="10">
        <v>7200000</v>
      </c>
      <c r="J90" s="10">
        <v>660.55045871559628</v>
      </c>
    </row>
    <row r="91" spans="1:10" x14ac:dyDescent="0.3">
      <c r="A91" s="9" t="s">
        <v>84</v>
      </c>
      <c r="B91" s="4">
        <v>2000</v>
      </c>
      <c r="C91" s="12">
        <f t="shared" si="3"/>
        <v>36526</v>
      </c>
      <c r="D91" s="12">
        <f t="shared" si="4"/>
        <v>36891</v>
      </c>
      <c r="E91" s="4">
        <v>436</v>
      </c>
      <c r="F91" s="4">
        <f t="shared" si="5"/>
        <v>4</v>
      </c>
      <c r="G91" s="16">
        <v>0.04</v>
      </c>
      <c r="H91" s="10">
        <v>91.743119266055047</v>
      </c>
      <c r="I91" s="10">
        <v>7200000</v>
      </c>
      <c r="J91" s="10">
        <v>660.55045871559628</v>
      </c>
    </row>
    <row r="92" spans="1:10" x14ac:dyDescent="0.3">
      <c r="A92" s="9" t="s">
        <v>84</v>
      </c>
      <c r="B92" s="4">
        <v>2001</v>
      </c>
      <c r="C92" s="12">
        <f t="shared" si="3"/>
        <v>36892</v>
      </c>
      <c r="D92" s="12">
        <f t="shared" si="4"/>
        <v>37256</v>
      </c>
      <c r="E92" s="4">
        <v>436</v>
      </c>
      <c r="F92" s="4">
        <f t="shared" si="5"/>
        <v>4</v>
      </c>
      <c r="G92" s="16">
        <v>0.04</v>
      </c>
      <c r="H92" s="10">
        <v>91.743119266055047</v>
      </c>
      <c r="I92" s="10">
        <v>7200000</v>
      </c>
      <c r="J92" s="10">
        <v>660.55045871559628</v>
      </c>
    </row>
    <row r="93" spans="1:10" x14ac:dyDescent="0.3">
      <c r="A93" s="9" t="s">
        <v>84</v>
      </c>
      <c r="B93" s="4">
        <v>2002</v>
      </c>
      <c r="C93" s="12">
        <f t="shared" si="3"/>
        <v>37257</v>
      </c>
      <c r="D93" s="12">
        <f t="shared" si="4"/>
        <v>37621</v>
      </c>
      <c r="E93" s="4">
        <v>436</v>
      </c>
      <c r="F93" s="4">
        <f t="shared" si="5"/>
        <v>4</v>
      </c>
      <c r="G93" s="16">
        <v>0.04</v>
      </c>
      <c r="H93" s="10">
        <v>91.743119266055047</v>
      </c>
      <c r="I93" s="10">
        <v>7200000</v>
      </c>
      <c r="J93" s="10">
        <v>660.55045871559628</v>
      </c>
    </row>
    <row r="94" spans="1:10" x14ac:dyDescent="0.3">
      <c r="A94" s="9" t="s">
        <v>84</v>
      </c>
      <c r="B94" s="4">
        <v>2003</v>
      </c>
      <c r="C94" s="12">
        <f t="shared" si="3"/>
        <v>37622</v>
      </c>
      <c r="D94" s="12">
        <f t="shared" si="4"/>
        <v>37986</v>
      </c>
      <c r="E94" s="10">
        <f>E93*1.05</f>
        <v>457.8</v>
      </c>
      <c r="F94" s="4">
        <f t="shared" si="5"/>
        <v>4</v>
      </c>
      <c r="G94" s="16">
        <v>0.04</v>
      </c>
      <c r="H94" s="10">
        <v>87.374399301004814</v>
      </c>
      <c r="I94" s="10">
        <v>7200000</v>
      </c>
      <c r="J94" s="10">
        <v>629.09567496723457</v>
      </c>
    </row>
    <row r="95" spans="1:10" x14ac:dyDescent="0.3">
      <c r="A95" s="9" t="s">
        <v>84</v>
      </c>
      <c r="B95" s="4">
        <v>2004</v>
      </c>
      <c r="C95" s="12">
        <f t="shared" si="3"/>
        <v>37987</v>
      </c>
      <c r="D95" s="12">
        <f t="shared" si="4"/>
        <v>38352</v>
      </c>
      <c r="E95" s="10">
        <v>483</v>
      </c>
      <c r="F95" s="4">
        <f t="shared" si="5"/>
        <v>4</v>
      </c>
      <c r="G95" s="16">
        <v>0.04</v>
      </c>
      <c r="H95" s="10">
        <v>82.815734989648035</v>
      </c>
      <c r="I95" s="10">
        <v>7560000</v>
      </c>
      <c r="J95" s="10">
        <v>626.08695652173913</v>
      </c>
    </row>
    <row r="96" spans="1:10" x14ac:dyDescent="0.3">
      <c r="A96" s="9" t="s">
        <v>84</v>
      </c>
      <c r="B96" s="4">
        <v>2005</v>
      </c>
      <c r="C96" s="12">
        <f t="shared" si="3"/>
        <v>38353</v>
      </c>
      <c r="D96" s="12">
        <f t="shared" si="4"/>
        <v>38717</v>
      </c>
      <c r="E96" s="10">
        <v>511</v>
      </c>
      <c r="F96" s="4">
        <f t="shared" si="5"/>
        <v>4</v>
      </c>
      <c r="G96" s="16">
        <v>0.04</v>
      </c>
      <c r="H96" s="10">
        <v>78.277886497064586</v>
      </c>
      <c r="I96" s="10">
        <v>7992000</v>
      </c>
      <c r="J96" s="10">
        <v>625.59686888454019</v>
      </c>
    </row>
    <row r="97" spans="1:10" x14ac:dyDescent="0.3">
      <c r="A97" s="9" t="s">
        <v>84</v>
      </c>
      <c r="B97" s="4">
        <v>2006</v>
      </c>
      <c r="C97" s="12">
        <f t="shared" si="3"/>
        <v>38718</v>
      </c>
      <c r="D97" s="12">
        <f t="shared" si="4"/>
        <v>39082</v>
      </c>
      <c r="E97" s="10">
        <v>540</v>
      </c>
      <c r="F97" s="4">
        <f t="shared" si="5"/>
        <v>4</v>
      </c>
      <c r="G97" s="16">
        <v>0.04</v>
      </c>
      <c r="H97" s="10">
        <v>74.074074074074076</v>
      </c>
      <c r="I97" s="10">
        <f>I45*3</f>
        <v>7200000</v>
      </c>
      <c r="J97" s="10">
        <v>624</v>
      </c>
    </row>
    <row r="98" spans="1:10" x14ac:dyDescent="0.3">
      <c r="A98" s="9" t="s">
        <v>84</v>
      </c>
      <c r="B98" s="4">
        <v>2007</v>
      </c>
      <c r="C98" s="12">
        <f t="shared" si="3"/>
        <v>39083</v>
      </c>
      <c r="D98" s="12">
        <f t="shared" si="4"/>
        <v>39447</v>
      </c>
      <c r="E98" s="10">
        <v>568</v>
      </c>
      <c r="F98" s="4">
        <f t="shared" si="5"/>
        <v>4</v>
      </c>
      <c r="G98" s="16">
        <v>0.04</v>
      </c>
      <c r="H98" s="10">
        <v>70.422535211267615</v>
      </c>
      <c r="I98" s="10">
        <v>8856000</v>
      </c>
      <c r="J98" s="10">
        <v>623.66197183098598</v>
      </c>
    </row>
    <row r="99" spans="1:10" x14ac:dyDescent="0.3">
      <c r="A99" s="9" t="s">
        <v>84</v>
      </c>
      <c r="B99" s="4">
        <v>2008</v>
      </c>
      <c r="C99" s="12">
        <f t="shared" si="3"/>
        <v>39448</v>
      </c>
      <c r="D99" s="12">
        <f t="shared" si="4"/>
        <v>39813</v>
      </c>
      <c r="E99" s="10">
        <v>591</v>
      </c>
      <c r="F99" s="4">
        <f t="shared" si="5"/>
        <v>4</v>
      </c>
      <c r="G99" s="16">
        <v>0.04</v>
      </c>
      <c r="H99" s="10">
        <v>67.681895093062607</v>
      </c>
      <c r="I99" s="10">
        <v>9216000</v>
      </c>
      <c r="J99" s="10">
        <v>623.75634517766503</v>
      </c>
    </row>
    <row r="100" spans="1:10" x14ac:dyDescent="0.3">
      <c r="A100" s="9" t="s">
        <v>84</v>
      </c>
      <c r="B100" s="4">
        <v>2009</v>
      </c>
      <c r="C100" s="12">
        <f t="shared" si="3"/>
        <v>39814</v>
      </c>
      <c r="D100" s="12">
        <f t="shared" si="4"/>
        <v>40178</v>
      </c>
      <c r="E100" s="10">
        <v>591</v>
      </c>
      <c r="F100" s="4">
        <f t="shared" si="5"/>
        <v>4</v>
      </c>
      <c r="G100" s="16">
        <v>0.04</v>
      </c>
      <c r="H100" s="10">
        <v>67.681895093062607</v>
      </c>
      <c r="I100" s="10">
        <v>9216000</v>
      </c>
      <c r="J100" s="10">
        <v>623.75634517766503</v>
      </c>
    </row>
    <row r="101" spans="1:10" x14ac:dyDescent="0.3">
      <c r="A101" s="9" t="s">
        <v>84</v>
      </c>
      <c r="B101" s="4">
        <v>2010</v>
      </c>
      <c r="C101" s="12">
        <f t="shared" si="3"/>
        <v>40179</v>
      </c>
      <c r="D101" s="12">
        <f t="shared" si="4"/>
        <v>40543</v>
      </c>
      <c r="E101" s="10">
        <v>609</v>
      </c>
      <c r="F101" s="4">
        <f t="shared" si="5"/>
        <v>4</v>
      </c>
      <c r="G101" s="16">
        <v>0.04</v>
      </c>
      <c r="H101" s="10">
        <v>65.681444991789817</v>
      </c>
      <c r="I101" s="10">
        <v>9216000</v>
      </c>
      <c r="J101" s="10">
        <v>605.32019704433503</v>
      </c>
    </row>
    <row r="102" spans="1:10" x14ac:dyDescent="0.3">
      <c r="A102" s="9" t="s">
        <v>84</v>
      </c>
      <c r="B102" s="4">
        <v>2011</v>
      </c>
      <c r="C102" s="12">
        <f t="shared" si="3"/>
        <v>40544</v>
      </c>
      <c r="D102" s="12">
        <f t="shared" si="4"/>
        <v>40908</v>
      </c>
      <c r="E102" s="10">
        <v>609</v>
      </c>
      <c r="F102" s="4">
        <f t="shared" si="5"/>
        <v>4</v>
      </c>
      <c r="G102" s="16">
        <v>0.04</v>
      </c>
      <c r="H102" s="10">
        <v>65.681444991789817</v>
      </c>
      <c r="I102" s="10">
        <v>9216000</v>
      </c>
      <c r="J102" s="10">
        <v>605.32019704433503</v>
      </c>
    </row>
    <row r="103" spans="1:10" x14ac:dyDescent="0.3">
      <c r="A103" s="9" t="s">
        <v>84</v>
      </c>
      <c r="B103" s="4">
        <v>2012</v>
      </c>
      <c r="C103" s="12">
        <f t="shared" si="3"/>
        <v>40909</v>
      </c>
      <c r="D103" s="12">
        <f t="shared" si="4"/>
        <v>41274</v>
      </c>
      <c r="E103" s="10">
        <v>609</v>
      </c>
      <c r="F103" s="4">
        <f t="shared" si="5"/>
        <v>4</v>
      </c>
      <c r="G103" s="16">
        <v>0.04</v>
      </c>
      <c r="H103" s="10">
        <v>65.681444991789817</v>
      </c>
      <c r="I103" s="10">
        <v>9216000</v>
      </c>
      <c r="J103" s="10">
        <v>605.32019704433503</v>
      </c>
    </row>
    <row r="104" spans="1:10" x14ac:dyDescent="0.3">
      <c r="A104" s="9" t="s">
        <v>84</v>
      </c>
      <c r="B104" s="4">
        <v>2013</v>
      </c>
      <c r="C104" s="12">
        <f t="shared" si="3"/>
        <v>41275</v>
      </c>
      <c r="D104" s="12">
        <f t="shared" si="4"/>
        <v>41639</v>
      </c>
      <c r="E104" s="10">
        <v>609</v>
      </c>
      <c r="F104" s="4">
        <f t="shared" si="5"/>
        <v>4</v>
      </c>
      <c r="G104" s="16">
        <v>0.04</v>
      </c>
      <c r="H104" s="10">
        <v>65.681444991789817</v>
      </c>
      <c r="I104" s="10">
        <v>9216000</v>
      </c>
      <c r="J104" s="10">
        <v>605.32019704433503</v>
      </c>
    </row>
    <row r="105" spans="1:10" x14ac:dyDescent="0.3">
      <c r="A105" s="9" t="s">
        <v>84</v>
      </c>
      <c r="B105" s="4">
        <v>2014</v>
      </c>
      <c r="C105" s="12">
        <f t="shared" si="3"/>
        <v>41640</v>
      </c>
      <c r="D105" s="12">
        <f t="shared" si="4"/>
        <v>42004</v>
      </c>
      <c r="E105" s="10">
        <v>609</v>
      </c>
      <c r="F105" s="4">
        <f t="shared" si="5"/>
        <v>4</v>
      </c>
      <c r="G105" s="16">
        <v>0.04</v>
      </c>
      <c r="H105" s="10">
        <v>65.681444991789817</v>
      </c>
      <c r="I105" s="10">
        <v>9216000</v>
      </c>
      <c r="J105" s="10">
        <v>605.32019704433503</v>
      </c>
    </row>
    <row r="106" spans="1:10" x14ac:dyDescent="0.3">
      <c r="A106" s="9" t="s">
        <v>84</v>
      </c>
      <c r="B106" s="4">
        <v>2015</v>
      </c>
      <c r="C106" s="12">
        <f t="shared" si="3"/>
        <v>42005</v>
      </c>
      <c r="D106" s="12">
        <f t="shared" si="4"/>
        <v>42369</v>
      </c>
      <c r="E106" s="10">
        <v>609</v>
      </c>
      <c r="F106" s="4">
        <f t="shared" si="5"/>
        <v>4</v>
      </c>
      <c r="G106" s="16">
        <v>0.04</v>
      </c>
      <c r="H106" s="10">
        <v>65.681444991789817</v>
      </c>
      <c r="I106" s="10">
        <v>9216001</v>
      </c>
      <c r="J106" s="10">
        <v>605.32026272577991</v>
      </c>
    </row>
    <row r="107" spans="1:10" x14ac:dyDescent="0.3">
      <c r="A107" s="9" t="s">
        <v>84</v>
      </c>
      <c r="B107" s="4">
        <v>2016</v>
      </c>
      <c r="C107" s="12">
        <f t="shared" si="3"/>
        <v>42370</v>
      </c>
      <c r="D107" s="12">
        <f t="shared" si="4"/>
        <v>42735</v>
      </c>
      <c r="E107" s="10">
        <f>(E106*3+E108*9)/12</f>
        <v>654.75</v>
      </c>
      <c r="F107" s="4">
        <f t="shared" si="5"/>
        <v>4</v>
      </c>
      <c r="G107" s="16">
        <v>0.04</v>
      </c>
      <c r="H107" s="10">
        <v>61.092019854906461</v>
      </c>
      <c r="I107" s="10">
        <v>10404000</v>
      </c>
      <c r="J107" s="10">
        <v>635.60137457044686</v>
      </c>
    </row>
    <row r="108" spans="1:10" x14ac:dyDescent="0.3">
      <c r="A108" s="9" t="s">
        <v>84</v>
      </c>
      <c r="B108" s="4">
        <v>2017</v>
      </c>
      <c r="C108" s="12">
        <f t="shared" si="3"/>
        <v>42736</v>
      </c>
      <c r="D108" s="12">
        <f t="shared" si="4"/>
        <v>43100</v>
      </c>
      <c r="E108" s="10">
        <v>670</v>
      </c>
      <c r="F108" s="4">
        <f t="shared" si="5"/>
        <v>4</v>
      </c>
      <c r="G108" s="16">
        <v>0.04</v>
      </c>
      <c r="H108" s="10">
        <v>59.701492537313435</v>
      </c>
      <c r="I108" s="10">
        <v>12960000</v>
      </c>
      <c r="J108" s="10">
        <v>773.73134328358208</v>
      </c>
    </row>
    <row r="109" spans="1:10" x14ac:dyDescent="0.3">
      <c r="A109" s="9" t="s">
        <v>84</v>
      </c>
      <c r="B109" s="4">
        <v>2018</v>
      </c>
      <c r="C109" s="12">
        <f t="shared" si="3"/>
        <v>43101</v>
      </c>
      <c r="D109" s="12">
        <f t="shared" si="4"/>
        <v>43465</v>
      </c>
      <c r="E109" s="10">
        <v>670</v>
      </c>
      <c r="F109" s="4">
        <f t="shared" si="5"/>
        <v>4</v>
      </c>
      <c r="G109" s="16">
        <v>0.04</v>
      </c>
      <c r="H109" s="10">
        <v>59.701492537313435</v>
      </c>
      <c r="I109" s="10">
        <v>12960000</v>
      </c>
      <c r="J109" s="10">
        <v>773.73134328358208</v>
      </c>
    </row>
    <row r="110" spans="1:10" x14ac:dyDescent="0.3">
      <c r="A110" s="9" t="s">
        <v>84</v>
      </c>
      <c r="B110" s="4">
        <v>2019</v>
      </c>
      <c r="C110" s="12">
        <f t="shared" si="3"/>
        <v>43466</v>
      </c>
      <c r="D110" s="12">
        <f t="shared" si="4"/>
        <v>43830</v>
      </c>
      <c r="E110" s="10">
        <v>670</v>
      </c>
      <c r="F110" s="4">
        <f t="shared" si="5"/>
        <v>4</v>
      </c>
      <c r="G110" s="16">
        <v>0.04</v>
      </c>
      <c r="H110" s="10">
        <v>59.701492537313435</v>
      </c>
      <c r="I110" s="10">
        <v>12960000</v>
      </c>
      <c r="J110" s="10">
        <v>773.73134328358208</v>
      </c>
    </row>
    <row r="111" spans="1:10" x14ac:dyDescent="0.3">
      <c r="A111" s="1"/>
      <c r="B111" s="1"/>
      <c r="C111" s="20"/>
      <c r="D111" s="20"/>
      <c r="E111" s="1"/>
      <c r="F111" s="1"/>
      <c r="G111" s="17"/>
      <c r="H111" s="1"/>
      <c r="I111" s="1"/>
      <c r="J111" s="1"/>
    </row>
    <row r="112" spans="1:10" x14ac:dyDescent="0.3">
      <c r="A112" s="1"/>
      <c r="B112" s="1"/>
      <c r="C112" s="20"/>
      <c r="D112" s="20"/>
      <c r="E112" s="1"/>
      <c r="F112" s="1"/>
      <c r="G112" s="17"/>
      <c r="H112" s="1"/>
      <c r="I112" s="1"/>
      <c r="J112" s="1"/>
    </row>
    <row r="113" spans="1:10" x14ac:dyDescent="0.3">
      <c r="A113" s="1"/>
      <c r="B113" s="1"/>
      <c r="C113" s="20"/>
      <c r="D113" s="20"/>
      <c r="E113" s="1"/>
      <c r="F113" s="1"/>
      <c r="G113" s="17"/>
      <c r="H113" s="1"/>
      <c r="I113" s="1"/>
      <c r="J113" s="1"/>
    </row>
    <row r="114" spans="1:10" x14ac:dyDescent="0.3">
      <c r="A114" s="1"/>
      <c r="B114" s="1"/>
      <c r="C114" s="20"/>
      <c r="D114" s="20"/>
      <c r="E114" s="1"/>
      <c r="F114" s="1"/>
      <c r="G114" s="17"/>
      <c r="H114" s="1"/>
      <c r="I114" s="1"/>
      <c r="J114" s="1"/>
    </row>
    <row r="115" spans="1:10" x14ac:dyDescent="0.3">
      <c r="A115" s="1"/>
      <c r="B115" s="1"/>
      <c r="C115" s="20"/>
      <c r="D115" s="20"/>
      <c r="E115" s="1"/>
      <c r="F115" s="1"/>
      <c r="G115" s="17"/>
      <c r="H115" s="1"/>
      <c r="I115" s="1"/>
      <c r="J115" s="1"/>
    </row>
    <row r="116" spans="1:10" x14ac:dyDescent="0.3">
      <c r="A116" s="1"/>
      <c r="B116" s="1"/>
      <c r="C116" s="20"/>
      <c r="D116" s="20"/>
      <c r="E116" s="1"/>
      <c r="F116" s="1"/>
      <c r="G116" s="17"/>
      <c r="H116" s="1"/>
      <c r="I116" s="1"/>
      <c r="J116" s="1"/>
    </row>
    <row r="117" spans="1:10" x14ac:dyDescent="0.3">
      <c r="A117" s="1"/>
      <c r="B117" s="1"/>
      <c r="C117" s="20"/>
      <c r="D117" s="20"/>
      <c r="E117" s="1"/>
      <c r="F117" s="1"/>
      <c r="G117" s="17"/>
      <c r="H117" s="1"/>
      <c r="I117" s="1"/>
      <c r="J117" s="1"/>
    </row>
    <row r="118" spans="1:10" x14ac:dyDescent="0.3">
      <c r="A118" s="1"/>
      <c r="B118" s="1"/>
      <c r="C118" s="20"/>
      <c r="D118" s="20"/>
      <c r="E118" s="1"/>
      <c r="F118" s="1"/>
      <c r="G118" s="17"/>
      <c r="H118" s="1"/>
      <c r="I118" s="1"/>
      <c r="J118" s="1"/>
    </row>
    <row r="119" spans="1:10" x14ac:dyDescent="0.3">
      <c r="A119" s="1"/>
      <c r="B119" s="1"/>
      <c r="C119" s="20"/>
      <c r="D119" s="20"/>
      <c r="E119" s="1"/>
      <c r="F119" s="1"/>
      <c r="G119" s="17"/>
      <c r="H119" s="1"/>
      <c r="I119" s="1"/>
      <c r="J119" s="1"/>
    </row>
    <row r="120" spans="1:10" x14ac:dyDescent="0.3">
      <c r="A120" s="1"/>
      <c r="B120" s="1"/>
      <c r="C120" s="20"/>
      <c r="D120" s="20"/>
      <c r="E120" s="1"/>
      <c r="F120" s="1"/>
      <c r="G120" s="17"/>
      <c r="H120" s="1"/>
      <c r="I120" s="1"/>
      <c r="J120" s="1"/>
    </row>
    <row r="121" spans="1:10" x14ac:dyDescent="0.3">
      <c r="A121" s="1"/>
      <c r="B121" s="1"/>
      <c r="C121" s="20"/>
      <c r="D121" s="20"/>
      <c r="E121" s="1"/>
      <c r="F121" s="1"/>
      <c r="G121" s="17"/>
      <c r="H121" s="1"/>
      <c r="I121" s="1"/>
      <c r="J121" s="1"/>
    </row>
    <row r="122" spans="1:10" x14ac:dyDescent="0.3">
      <c r="A122" s="1"/>
      <c r="B122" s="1"/>
      <c r="C122" s="20"/>
      <c r="D122" s="20"/>
      <c r="E122" s="1"/>
      <c r="F122" s="1"/>
      <c r="G122" s="17"/>
      <c r="H122" s="1"/>
      <c r="I122" s="1"/>
      <c r="J122" s="1"/>
    </row>
    <row r="123" spans="1:10" x14ac:dyDescent="0.3">
      <c r="A123" s="1"/>
      <c r="B123" s="1"/>
      <c r="C123" s="20"/>
      <c r="D123" s="20"/>
      <c r="E123" s="1"/>
      <c r="F123" s="1"/>
      <c r="G123" s="17"/>
      <c r="H123" s="1"/>
      <c r="I123" s="1"/>
      <c r="J123" s="1"/>
    </row>
    <row r="124" spans="1:10" x14ac:dyDescent="0.3">
      <c r="A124" s="1"/>
      <c r="B124" s="1"/>
      <c r="C124" s="20"/>
      <c r="D124" s="20"/>
      <c r="E124" s="1"/>
      <c r="F124" s="1"/>
      <c r="G124" s="17"/>
      <c r="H124" s="1"/>
      <c r="I124" s="1"/>
      <c r="J124" s="1"/>
    </row>
    <row r="125" spans="1:10" x14ac:dyDescent="0.3">
      <c r="A125" s="1"/>
      <c r="B125" s="1"/>
      <c r="C125" s="20"/>
      <c r="D125" s="20"/>
      <c r="E125" s="1"/>
      <c r="F125" s="1"/>
      <c r="G125" s="17"/>
      <c r="H125" s="1"/>
      <c r="I125" s="1"/>
      <c r="J125" s="1"/>
    </row>
    <row r="126" spans="1:10" x14ac:dyDescent="0.3">
      <c r="A126" s="1"/>
      <c r="B126" s="1"/>
      <c r="C126" s="20"/>
      <c r="D126" s="20"/>
      <c r="E126" s="1"/>
      <c r="F126" s="1"/>
      <c r="G126" s="17"/>
      <c r="H126" s="1"/>
      <c r="I126" s="1"/>
      <c r="J126" s="1"/>
    </row>
    <row r="127" spans="1:10" x14ac:dyDescent="0.3">
      <c r="A127" s="1"/>
      <c r="B127" s="1"/>
      <c r="C127" s="20"/>
      <c r="D127" s="20"/>
      <c r="E127" s="1"/>
      <c r="F127" s="1"/>
      <c r="G127" s="17"/>
      <c r="H127" s="1"/>
      <c r="I127" s="1"/>
      <c r="J127" s="1"/>
    </row>
    <row r="128" spans="1:10" x14ac:dyDescent="0.3">
      <c r="A128" s="1"/>
      <c r="B128" s="1"/>
      <c r="C128" s="20"/>
      <c r="D128" s="20"/>
      <c r="E128" s="1"/>
      <c r="F128" s="1"/>
      <c r="G128" s="17"/>
      <c r="H128" s="1"/>
      <c r="I128" s="1"/>
      <c r="J128" s="1"/>
    </row>
    <row r="129" spans="1:10" x14ac:dyDescent="0.3">
      <c r="A129" s="1"/>
      <c r="B129" s="1"/>
      <c r="C129" s="20"/>
      <c r="D129" s="20"/>
      <c r="E129" s="1"/>
      <c r="F129" s="1"/>
      <c r="G129" s="17"/>
      <c r="H129" s="1"/>
      <c r="I129" s="1"/>
      <c r="J129" s="1"/>
    </row>
    <row r="130" spans="1:10" x14ac:dyDescent="0.3">
      <c r="A130" s="1"/>
      <c r="B130" s="1"/>
      <c r="C130" s="20"/>
      <c r="D130" s="20"/>
      <c r="E130" s="1"/>
      <c r="F130" s="1"/>
      <c r="G130" s="17"/>
      <c r="H130" s="1"/>
      <c r="I130" s="1"/>
      <c r="J130" s="1"/>
    </row>
    <row r="131" spans="1:10" x14ac:dyDescent="0.3">
      <c r="A131" s="1"/>
      <c r="B131" s="1"/>
      <c r="C131" s="20"/>
      <c r="D131" s="20"/>
      <c r="E131" s="1"/>
      <c r="F131" s="1"/>
      <c r="G131" s="17"/>
      <c r="H131" s="1"/>
      <c r="I131" s="1"/>
      <c r="J131" s="1"/>
    </row>
    <row r="132" spans="1:10" x14ac:dyDescent="0.3">
      <c r="A132" s="1"/>
      <c r="B132" s="1"/>
      <c r="C132" s="20"/>
      <c r="D132" s="20"/>
      <c r="E132" s="1"/>
      <c r="F132" s="1"/>
      <c r="G132" s="17"/>
      <c r="H132" s="1"/>
      <c r="I132" s="1"/>
      <c r="J132" s="1"/>
    </row>
    <row r="133" spans="1:10" x14ac:dyDescent="0.3">
      <c r="A133" s="1"/>
      <c r="B133" s="1"/>
      <c r="C133" s="20"/>
      <c r="D133" s="20"/>
      <c r="E133" s="1"/>
      <c r="F133" s="1"/>
      <c r="G133" s="17"/>
      <c r="H133" s="1"/>
      <c r="I133" s="1"/>
      <c r="J133" s="1"/>
    </row>
    <row r="134" spans="1:10" x14ac:dyDescent="0.3">
      <c r="A134" s="1"/>
      <c r="B134" s="1"/>
      <c r="C134" s="20"/>
      <c r="D134" s="20"/>
      <c r="E134" s="1"/>
      <c r="F134" s="1"/>
      <c r="G134" s="17"/>
      <c r="H134" s="1"/>
      <c r="I134" s="1"/>
      <c r="J134" s="1"/>
    </row>
    <row r="135" spans="1:10" x14ac:dyDescent="0.3">
      <c r="A135" s="1"/>
      <c r="B135" s="1"/>
      <c r="C135" s="20"/>
      <c r="D135" s="20"/>
      <c r="E135" s="1"/>
      <c r="F135" s="1"/>
      <c r="G135" s="17"/>
      <c r="H135" s="1"/>
      <c r="I135" s="1"/>
      <c r="J135" s="1"/>
    </row>
    <row r="136" spans="1:10" x14ac:dyDescent="0.3">
      <c r="A136" s="1"/>
      <c r="B136" s="1"/>
      <c r="C136" s="20"/>
      <c r="D136" s="20"/>
      <c r="E136" s="1"/>
      <c r="F136" s="1"/>
      <c r="G136" s="17"/>
      <c r="H136" s="1"/>
      <c r="I136" s="1"/>
      <c r="J136" s="1"/>
    </row>
    <row r="137" spans="1:10" x14ac:dyDescent="0.3">
      <c r="A137" s="1"/>
      <c r="B137" s="1"/>
      <c r="C137" s="20"/>
      <c r="D137" s="20"/>
      <c r="E137" s="1"/>
      <c r="F137" s="1"/>
      <c r="G137" s="17"/>
      <c r="H137" s="1"/>
      <c r="I137" s="1"/>
      <c r="J137" s="1"/>
    </row>
    <row r="138" spans="1:10" x14ac:dyDescent="0.3">
      <c r="A138" s="1"/>
      <c r="B138" s="1"/>
      <c r="C138" s="20"/>
      <c r="D138" s="20"/>
      <c r="E138" s="1"/>
      <c r="F138" s="1"/>
      <c r="G138" s="17"/>
      <c r="H138" s="1"/>
      <c r="I138" s="1"/>
      <c r="J138" s="1"/>
    </row>
    <row r="139" spans="1:10" x14ac:dyDescent="0.3">
      <c r="A139" s="1"/>
      <c r="B139" s="1"/>
      <c r="C139" s="20"/>
      <c r="D139" s="20"/>
      <c r="E139" s="1"/>
      <c r="F139" s="1"/>
      <c r="G139" s="17"/>
      <c r="H139" s="1"/>
      <c r="I139" s="1"/>
      <c r="J139" s="1"/>
    </row>
    <row r="140" spans="1:10" x14ac:dyDescent="0.3">
      <c r="A140" s="1"/>
      <c r="B140" s="1"/>
      <c r="C140" s="20"/>
      <c r="D140" s="20"/>
      <c r="E140" s="1"/>
      <c r="F140" s="1"/>
      <c r="G140" s="17"/>
      <c r="H140" s="1"/>
      <c r="I140" s="1"/>
      <c r="J140" s="1"/>
    </row>
    <row r="141" spans="1:10" x14ac:dyDescent="0.3">
      <c r="A141" s="1"/>
      <c r="B141" s="1"/>
      <c r="C141" s="20"/>
      <c r="D141" s="20"/>
      <c r="E141" s="1"/>
      <c r="F141" s="1"/>
      <c r="G141" s="17"/>
      <c r="H141" s="1"/>
      <c r="I141" s="1"/>
      <c r="J141" s="1"/>
    </row>
    <row r="142" spans="1:10" x14ac:dyDescent="0.3">
      <c r="A142" s="1"/>
      <c r="B142" s="1"/>
      <c r="C142" s="20"/>
      <c r="D142" s="20"/>
      <c r="E142" s="1"/>
      <c r="F142" s="1"/>
      <c r="G142" s="17"/>
      <c r="H142" s="1"/>
      <c r="I142" s="1"/>
      <c r="J142" s="1"/>
    </row>
    <row r="143" spans="1:10" x14ac:dyDescent="0.3">
      <c r="A143" s="1"/>
      <c r="B143" s="1"/>
      <c r="C143" s="20"/>
      <c r="D143" s="20"/>
      <c r="E143" s="1"/>
      <c r="F143" s="1"/>
      <c r="G143" s="17"/>
      <c r="H143" s="1"/>
      <c r="I143" s="1"/>
      <c r="J143" s="1"/>
    </row>
    <row r="144" spans="1:10" x14ac:dyDescent="0.3">
      <c r="A144" s="1"/>
      <c r="B144" s="1"/>
      <c r="C144" s="20"/>
      <c r="D144" s="20"/>
      <c r="E144" s="1"/>
      <c r="F144" s="1"/>
      <c r="G144" s="17"/>
      <c r="H144" s="1"/>
      <c r="I144" s="1"/>
      <c r="J144" s="1"/>
    </row>
    <row r="145" spans="1:10" x14ac:dyDescent="0.3">
      <c r="A145" s="1"/>
      <c r="B145" s="1"/>
      <c r="C145" s="20"/>
      <c r="D145" s="20"/>
      <c r="E145" s="1"/>
      <c r="F145" s="1"/>
      <c r="G145" s="17"/>
      <c r="H145" s="1"/>
      <c r="I145" s="1"/>
      <c r="J145" s="1"/>
    </row>
    <row r="146" spans="1:10" x14ac:dyDescent="0.3">
      <c r="A146" s="1"/>
      <c r="B146" s="1"/>
      <c r="C146" s="20"/>
      <c r="D146" s="20"/>
      <c r="E146" s="1"/>
      <c r="F146" s="1"/>
      <c r="G146" s="17"/>
      <c r="H146" s="1"/>
      <c r="I146" s="1"/>
      <c r="J146" s="1"/>
    </row>
    <row r="147" spans="1:10" x14ac:dyDescent="0.3">
      <c r="A147" s="1"/>
      <c r="B147" s="1"/>
      <c r="C147" s="20"/>
      <c r="D147" s="20"/>
      <c r="E147" s="1"/>
      <c r="F147" s="1"/>
      <c r="G147" s="17"/>
      <c r="H147" s="1"/>
      <c r="I147" s="1"/>
      <c r="J147" s="1"/>
    </row>
    <row r="148" spans="1:10" x14ac:dyDescent="0.3">
      <c r="A148" s="1"/>
      <c r="B148" s="1"/>
      <c r="C148" s="20"/>
      <c r="D148" s="20"/>
      <c r="E148" s="1"/>
      <c r="F148" s="1"/>
      <c r="G148" s="17"/>
      <c r="H148" s="1"/>
      <c r="I148" s="1"/>
      <c r="J148" s="1"/>
    </row>
    <row r="149" spans="1:10" x14ac:dyDescent="0.3">
      <c r="A149" s="1"/>
      <c r="B149" s="1"/>
      <c r="C149" s="20"/>
      <c r="D149" s="20"/>
      <c r="E149" s="1"/>
      <c r="F149" s="1"/>
      <c r="G149" s="17"/>
      <c r="H149" s="1"/>
      <c r="I149" s="1"/>
      <c r="J149" s="1"/>
    </row>
    <row r="150" spans="1:10" x14ac:dyDescent="0.3">
      <c r="A150" s="1"/>
      <c r="B150" s="1"/>
      <c r="C150" s="20"/>
      <c r="D150" s="20"/>
      <c r="E150" s="1"/>
      <c r="F150" s="1"/>
      <c r="G150" s="17"/>
      <c r="H150" s="1"/>
      <c r="I150" s="1"/>
      <c r="J150" s="1"/>
    </row>
    <row r="151" spans="1:10" x14ac:dyDescent="0.3">
      <c r="A151" s="1"/>
      <c r="B151" s="1"/>
      <c r="C151" s="20"/>
      <c r="D151" s="20"/>
      <c r="E151" s="1"/>
      <c r="F151" s="1"/>
      <c r="G151" s="17"/>
      <c r="H151" s="1"/>
      <c r="I151" s="1"/>
      <c r="J151" s="1"/>
    </row>
    <row r="152" spans="1:10" x14ac:dyDescent="0.3">
      <c r="A152" s="1"/>
      <c r="B152" s="1"/>
      <c r="C152" s="20"/>
      <c r="D152" s="20"/>
      <c r="E152" s="1"/>
      <c r="F152" s="1"/>
      <c r="G152" s="17"/>
      <c r="H152" s="1"/>
      <c r="I152" s="1"/>
      <c r="J152" s="1"/>
    </row>
    <row r="153" spans="1:10" x14ac:dyDescent="0.3">
      <c r="A153" s="1"/>
      <c r="B153" s="1"/>
      <c r="C153" s="20"/>
      <c r="D153" s="20"/>
      <c r="E153" s="1"/>
      <c r="F153" s="1"/>
      <c r="G153" s="17"/>
      <c r="H153" s="1"/>
      <c r="I153" s="1"/>
      <c r="J153" s="1"/>
    </row>
    <row r="154" spans="1:10" x14ac:dyDescent="0.3">
      <c r="A154" s="1"/>
      <c r="B154" s="1"/>
      <c r="C154" s="20"/>
      <c r="D154" s="20"/>
      <c r="E154" s="1"/>
      <c r="F154" s="1"/>
      <c r="G154" s="17"/>
      <c r="H154" s="1"/>
      <c r="I154" s="1"/>
      <c r="J154" s="1"/>
    </row>
    <row r="155" spans="1:10" x14ac:dyDescent="0.3">
      <c r="A155" s="1"/>
      <c r="B155" s="1"/>
      <c r="C155" s="20"/>
      <c r="D155" s="20"/>
      <c r="E155" s="1"/>
      <c r="F155" s="1"/>
      <c r="G155" s="17"/>
      <c r="H155" s="1"/>
      <c r="I155" s="1"/>
      <c r="J155" s="1"/>
    </row>
    <row r="156" spans="1:10" x14ac:dyDescent="0.3">
      <c r="A156" s="1"/>
      <c r="B156" s="1"/>
      <c r="C156" s="20"/>
      <c r="D156" s="20"/>
      <c r="E156" s="1"/>
      <c r="F156" s="1"/>
      <c r="G156" s="17"/>
      <c r="H156" s="1"/>
      <c r="I156" s="1"/>
      <c r="J156" s="1"/>
    </row>
    <row r="157" spans="1:10" x14ac:dyDescent="0.3">
      <c r="A157" s="1"/>
      <c r="B157" s="1"/>
      <c r="C157" s="20"/>
      <c r="D157" s="20"/>
      <c r="E157" s="1"/>
      <c r="F157" s="1"/>
      <c r="G157" s="17"/>
      <c r="H157" s="1"/>
      <c r="I157" s="1"/>
      <c r="J157" s="1"/>
    </row>
    <row r="158" spans="1:10" x14ac:dyDescent="0.3">
      <c r="A158" s="1"/>
      <c r="B158" s="1"/>
      <c r="C158" s="20"/>
      <c r="D158" s="20"/>
      <c r="E158" s="1"/>
      <c r="F158" s="1"/>
      <c r="G158" s="17"/>
      <c r="H158" s="1"/>
      <c r="I158" s="1"/>
      <c r="J158" s="1"/>
    </row>
    <row r="159" spans="1:10" x14ac:dyDescent="0.3">
      <c r="A159" s="1"/>
      <c r="B159" s="1"/>
      <c r="C159" s="20"/>
      <c r="D159" s="20"/>
      <c r="E159" s="1"/>
      <c r="F159" s="1"/>
      <c r="G159" s="17"/>
      <c r="H159" s="1"/>
      <c r="I159" s="1"/>
      <c r="J159" s="1"/>
    </row>
    <row r="160" spans="1:10" x14ac:dyDescent="0.3">
      <c r="A160" s="1"/>
      <c r="B160" s="1"/>
      <c r="C160" s="20"/>
      <c r="D160" s="20"/>
      <c r="E160" s="1"/>
      <c r="F160" s="1"/>
      <c r="G160" s="17"/>
      <c r="H160" s="1"/>
      <c r="I160" s="1"/>
      <c r="J160" s="1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8"/>
  <sheetViews>
    <sheetView topLeftCell="A52" workbookViewId="0">
      <selection activeCell="A54" sqref="A54"/>
    </sheetView>
  </sheetViews>
  <sheetFormatPr baseColWidth="10" defaultRowHeight="15.6" x14ac:dyDescent="0.3"/>
  <cols>
    <col min="1" max="1" width="13.5" bestFit="1" customWidth="1"/>
    <col min="2" max="2" width="15.5" bestFit="1" customWidth="1"/>
    <col min="3" max="3" width="23" bestFit="1" customWidth="1"/>
    <col min="4" max="4" width="21.5" style="14" bestFit="1" customWidth="1"/>
    <col min="5" max="5" width="18.296875" style="14" bestFit="1" customWidth="1"/>
    <col min="6" max="9" width="23.3984375" customWidth="1"/>
  </cols>
  <sheetData>
    <row r="1" spans="1:9" x14ac:dyDescent="0.3">
      <c r="A1" s="8" t="s">
        <v>1</v>
      </c>
      <c r="B1" s="3" t="s">
        <v>11</v>
      </c>
      <c r="C1" s="3" t="s">
        <v>10</v>
      </c>
      <c r="D1" s="11" t="s">
        <v>59</v>
      </c>
      <c r="E1" s="11" t="s">
        <v>60</v>
      </c>
      <c r="F1" s="3" t="s">
        <v>12</v>
      </c>
      <c r="G1" s="3" t="s">
        <v>7</v>
      </c>
      <c r="H1" s="3" t="s">
        <v>8</v>
      </c>
      <c r="I1" s="3" t="s">
        <v>9</v>
      </c>
    </row>
    <row r="2" spans="1:9" x14ac:dyDescent="0.3">
      <c r="A2" s="8" t="s">
        <v>83</v>
      </c>
      <c r="B2" s="3" t="s">
        <v>61</v>
      </c>
      <c r="C2" s="4" t="s">
        <v>13</v>
      </c>
      <c r="D2" s="12">
        <v>21186</v>
      </c>
      <c r="E2" s="12">
        <v>22281</v>
      </c>
      <c r="F2" s="5">
        <v>16.7</v>
      </c>
      <c r="G2" s="5">
        <f t="shared" ref="G2:G26" si="0">SUM(F2/4)</f>
        <v>4.1749999999999998</v>
      </c>
      <c r="H2" s="3"/>
      <c r="I2" s="3"/>
    </row>
    <row r="3" spans="1:9" x14ac:dyDescent="0.3">
      <c r="A3" s="8" t="s">
        <v>83</v>
      </c>
      <c r="B3" s="3">
        <v>1961</v>
      </c>
      <c r="C3" s="4" t="s">
        <v>14</v>
      </c>
      <c r="D3" s="12">
        <v>22282</v>
      </c>
      <c r="E3" s="12">
        <v>22646</v>
      </c>
      <c r="F3" s="5">
        <v>19</v>
      </c>
      <c r="G3" s="5">
        <f t="shared" si="0"/>
        <v>4.75</v>
      </c>
      <c r="H3" s="3"/>
      <c r="I3" s="3"/>
    </row>
    <row r="4" spans="1:9" x14ac:dyDescent="0.3">
      <c r="A4" s="8" t="s">
        <v>83</v>
      </c>
      <c r="B4" s="3">
        <v>1962</v>
      </c>
      <c r="C4" s="4" t="s">
        <v>15</v>
      </c>
      <c r="D4" s="12">
        <v>22647</v>
      </c>
      <c r="E4" s="12">
        <v>23011</v>
      </c>
      <c r="F4" s="5">
        <v>20</v>
      </c>
      <c r="G4" s="5">
        <f t="shared" si="0"/>
        <v>5</v>
      </c>
      <c r="H4" s="3"/>
      <c r="I4" s="3"/>
    </row>
    <row r="5" spans="1:9" x14ac:dyDescent="0.3">
      <c r="A5" s="8" t="s">
        <v>83</v>
      </c>
      <c r="B5" s="3" t="s">
        <v>62</v>
      </c>
      <c r="C5" s="4" t="s">
        <v>16</v>
      </c>
      <c r="D5" s="12">
        <v>23012</v>
      </c>
      <c r="E5" s="12">
        <v>23558</v>
      </c>
      <c r="F5" s="5">
        <v>21</v>
      </c>
      <c r="G5" s="5">
        <f t="shared" si="0"/>
        <v>5.25</v>
      </c>
      <c r="H5" s="3"/>
      <c r="I5" s="3"/>
    </row>
    <row r="6" spans="1:9" x14ac:dyDescent="0.3">
      <c r="A6" s="8" t="s">
        <v>83</v>
      </c>
      <c r="B6" s="3" t="s">
        <v>63</v>
      </c>
      <c r="C6" s="4" t="s">
        <v>17</v>
      </c>
      <c r="D6" s="12">
        <v>23559</v>
      </c>
      <c r="E6" s="12">
        <v>24288</v>
      </c>
      <c r="F6" s="5">
        <v>22.6</v>
      </c>
      <c r="G6" s="5">
        <f t="shared" si="0"/>
        <v>5.65</v>
      </c>
      <c r="H6" s="3"/>
      <c r="I6" s="3"/>
    </row>
    <row r="7" spans="1:9" x14ac:dyDescent="0.3">
      <c r="A7" s="8" t="s">
        <v>83</v>
      </c>
      <c r="B7" s="3" t="s">
        <v>64</v>
      </c>
      <c r="C7" s="4" t="s">
        <v>18</v>
      </c>
      <c r="D7" s="12">
        <v>24289</v>
      </c>
      <c r="E7" s="12">
        <v>26572</v>
      </c>
      <c r="F7" s="5">
        <v>23.4</v>
      </c>
      <c r="G7" s="5">
        <f t="shared" si="0"/>
        <v>5.85</v>
      </c>
      <c r="H7" s="3"/>
      <c r="I7" s="3"/>
    </row>
    <row r="8" spans="1:9" x14ac:dyDescent="0.3">
      <c r="A8" s="8" t="s">
        <v>83</v>
      </c>
      <c r="B8" s="3" t="s">
        <v>65</v>
      </c>
      <c r="C8" s="4" t="s">
        <v>19</v>
      </c>
      <c r="D8" s="12">
        <v>26573</v>
      </c>
      <c r="E8" s="12">
        <v>27119</v>
      </c>
      <c r="F8" s="5">
        <v>25.04</v>
      </c>
      <c r="G8" s="5">
        <f t="shared" si="0"/>
        <v>6.26</v>
      </c>
      <c r="H8" s="3"/>
      <c r="I8" s="3"/>
    </row>
    <row r="9" spans="1:9" x14ac:dyDescent="0.3">
      <c r="A9" s="8" t="s">
        <v>83</v>
      </c>
      <c r="B9" s="3">
        <v>1974</v>
      </c>
      <c r="C9" s="4" t="s">
        <v>20</v>
      </c>
      <c r="D9" s="12">
        <v>27120</v>
      </c>
      <c r="E9" s="12">
        <v>27332</v>
      </c>
      <c r="F9" s="4">
        <v>26.85</v>
      </c>
      <c r="G9" s="5">
        <f t="shared" si="0"/>
        <v>6.7125000000000004</v>
      </c>
      <c r="H9" s="3"/>
      <c r="I9" s="3"/>
    </row>
    <row r="10" spans="1:9" x14ac:dyDescent="0.3">
      <c r="A10" s="8" t="s">
        <v>83</v>
      </c>
      <c r="B10" s="3" t="s">
        <v>66</v>
      </c>
      <c r="C10" s="4" t="s">
        <v>21</v>
      </c>
      <c r="D10" s="12">
        <v>27334</v>
      </c>
      <c r="E10" s="12">
        <v>27575</v>
      </c>
      <c r="F10" s="4">
        <v>32.22</v>
      </c>
      <c r="G10" s="5">
        <f t="shared" si="0"/>
        <v>8.0549999999999997</v>
      </c>
      <c r="H10" s="3"/>
      <c r="I10" s="3"/>
    </row>
    <row r="11" spans="1:9" x14ac:dyDescent="0.3">
      <c r="A11" s="8" t="s">
        <v>83</v>
      </c>
      <c r="B11" s="3" t="s">
        <v>67</v>
      </c>
      <c r="C11" s="4" t="s">
        <v>22</v>
      </c>
      <c r="D11" s="12">
        <v>27576</v>
      </c>
      <c r="E11" s="12">
        <v>28125</v>
      </c>
      <c r="F11" s="5">
        <v>33.06</v>
      </c>
      <c r="G11" s="5">
        <f t="shared" si="0"/>
        <v>8.2650000000000006</v>
      </c>
      <c r="H11" s="3"/>
      <c r="I11" s="3"/>
    </row>
    <row r="12" spans="1:9" x14ac:dyDescent="0.3">
      <c r="A12" s="8" t="s">
        <v>83</v>
      </c>
      <c r="B12" s="3">
        <v>1977</v>
      </c>
      <c r="C12" s="4" t="s">
        <v>23</v>
      </c>
      <c r="D12" s="12">
        <v>28126</v>
      </c>
      <c r="E12" s="12">
        <v>28490</v>
      </c>
      <c r="F12" s="5">
        <v>37.9</v>
      </c>
      <c r="G12" s="5">
        <f t="shared" si="0"/>
        <v>9.4749999999999996</v>
      </c>
      <c r="H12" s="3"/>
      <c r="I12" s="3"/>
    </row>
    <row r="13" spans="1:9" x14ac:dyDescent="0.3">
      <c r="A13" s="8" t="s">
        <v>83</v>
      </c>
      <c r="B13" s="3">
        <v>1978</v>
      </c>
      <c r="C13" s="4" t="s">
        <v>24</v>
      </c>
      <c r="D13" s="12">
        <v>28491</v>
      </c>
      <c r="E13" s="12">
        <v>28855</v>
      </c>
      <c r="F13" s="5">
        <v>44.3</v>
      </c>
      <c r="G13" s="5">
        <f t="shared" si="0"/>
        <v>11.074999999999999</v>
      </c>
      <c r="H13" s="3"/>
      <c r="I13" s="3"/>
    </row>
    <row r="14" spans="1:9" x14ac:dyDescent="0.3">
      <c r="A14" s="8" t="s">
        <v>83</v>
      </c>
      <c r="B14" s="3">
        <v>1979</v>
      </c>
      <c r="C14" s="4" t="s">
        <v>25</v>
      </c>
      <c r="D14" s="12">
        <v>28856</v>
      </c>
      <c r="E14" s="12">
        <v>29220</v>
      </c>
      <c r="F14" s="5">
        <v>46.6</v>
      </c>
      <c r="G14" s="5">
        <f t="shared" si="0"/>
        <v>11.65</v>
      </c>
      <c r="H14" s="3"/>
      <c r="I14" s="3"/>
    </row>
    <row r="15" spans="1:9" x14ac:dyDescent="0.3">
      <c r="A15" s="8" t="s">
        <v>83</v>
      </c>
      <c r="B15" s="3" t="s">
        <v>68</v>
      </c>
      <c r="C15" s="4" t="s">
        <v>26</v>
      </c>
      <c r="D15" s="12">
        <v>29221</v>
      </c>
      <c r="E15" s="12">
        <v>29767</v>
      </c>
      <c r="F15" s="5">
        <v>51</v>
      </c>
      <c r="G15" s="5">
        <f t="shared" si="0"/>
        <v>12.75</v>
      </c>
      <c r="H15" s="3"/>
      <c r="I15" s="3"/>
    </row>
    <row r="16" spans="1:9" x14ac:dyDescent="0.3">
      <c r="A16" s="8" t="s">
        <v>83</v>
      </c>
      <c r="B16" s="3" t="s">
        <v>69</v>
      </c>
      <c r="C16" s="4" t="s">
        <v>27</v>
      </c>
      <c r="D16" s="12">
        <v>29768</v>
      </c>
      <c r="E16" s="12">
        <v>30132</v>
      </c>
      <c r="F16" s="5">
        <v>56</v>
      </c>
      <c r="G16" s="5">
        <f t="shared" si="0"/>
        <v>14</v>
      </c>
      <c r="H16" s="3"/>
      <c r="I16" s="3"/>
    </row>
    <row r="17" spans="1:9" x14ac:dyDescent="0.3">
      <c r="A17" s="8" t="s">
        <v>83</v>
      </c>
      <c r="B17" s="3" t="s">
        <v>70</v>
      </c>
      <c r="C17" s="4" t="s">
        <v>28</v>
      </c>
      <c r="D17" s="12">
        <v>30133</v>
      </c>
      <c r="E17" s="12">
        <v>29676</v>
      </c>
      <c r="F17" s="5">
        <v>59</v>
      </c>
      <c r="G17" s="5">
        <f t="shared" si="0"/>
        <v>14.75</v>
      </c>
      <c r="H17" s="3"/>
      <c r="I17" s="3"/>
    </row>
    <row r="18" spans="1:9" x14ac:dyDescent="0.3">
      <c r="A18" s="8" t="s">
        <v>83</v>
      </c>
      <c r="B18" s="3" t="s">
        <v>71</v>
      </c>
      <c r="C18" s="4" t="s">
        <v>29</v>
      </c>
      <c r="D18" s="12">
        <v>30407</v>
      </c>
      <c r="E18" s="12">
        <v>30863</v>
      </c>
      <c r="F18" s="5">
        <v>67.099999999999994</v>
      </c>
      <c r="G18" s="5">
        <f t="shared" si="0"/>
        <v>16.774999999999999</v>
      </c>
      <c r="H18" s="3"/>
      <c r="I18" s="3"/>
    </row>
    <row r="19" spans="1:9" x14ac:dyDescent="0.3">
      <c r="A19" s="8" t="s">
        <v>83</v>
      </c>
      <c r="B19" s="3" t="s">
        <v>72</v>
      </c>
      <c r="C19" s="4" t="s">
        <v>30</v>
      </c>
      <c r="D19" s="12">
        <v>30864</v>
      </c>
      <c r="E19" s="12">
        <v>31228</v>
      </c>
      <c r="F19" s="5">
        <v>69.45</v>
      </c>
      <c r="G19" s="5">
        <f t="shared" si="0"/>
        <v>17.362500000000001</v>
      </c>
      <c r="H19" s="3"/>
      <c r="I19" s="3"/>
    </row>
    <row r="20" spans="1:9" x14ac:dyDescent="0.3">
      <c r="A20" s="8" t="s">
        <v>83</v>
      </c>
      <c r="B20" s="3" t="s">
        <v>73</v>
      </c>
      <c r="C20" s="4" t="s">
        <v>31</v>
      </c>
      <c r="D20" s="12">
        <v>31229</v>
      </c>
      <c r="E20" s="12">
        <v>31593</v>
      </c>
      <c r="F20" s="5">
        <v>75.3</v>
      </c>
      <c r="G20" s="5">
        <f t="shared" si="0"/>
        <v>18.824999999999999</v>
      </c>
      <c r="H20" s="3"/>
      <c r="I20" s="3"/>
    </row>
    <row r="21" spans="1:9" x14ac:dyDescent="0.3">
      <c r="A21" s="8" t="s">
        <v>83</v>
      </c>
      <c r="B21" s="3" t="s">
        <v>74</v>
      </c>
      <c r="C21" s="4" t="s">
        <v>32</v>
      </c>
      <c r="D21" s="12">
        <v>31594</v>
      </c>
      <c r="E21" s="12">
        <v>32416</v>
      </c>
      <c r="F21" s="5">
        <v>79.599999999999994</v>
      </c>
      <c r="G21" s="5">
        <f t="shared" si="0"/>
        <v>19.899999999999999</v>
      </c>
      <c r="H21" s="3"/>
      <c r="I21" s="3"/>
    </row>
    <row r="22" spans="1:9" x14ac:dyDescent="0.3">
      <c r="A22" s="8" t="s">
        <v>83</v>
      </c>
      <c r="B22" s="3" t="s">
        <v>58</v>
      </c>
      <c r="C22" s="4" t="s">
        <v>33</v>
      </c>
      <c r="D22" s="12">
        <v>32417</v>
      </c>
      <c r="E22" s="12">
        <v>34515</v>
      </c>
      <c r="F22" s="5">
        <v>81.400000000000006</v>
      </c>
      <c r="G22" s="5">
        <f t="shared" si="0"/>
        <v>20.350000000000001</v>
      </c>
      <c r="H22" s="3"/>
      <c r="I22" s="3"/>
    </row>
    <row r="23" spans="1:9" x14ac:dyDescent="0.3">
      <c r="A23" s="8" t="s">
        <v>83</v>
      </c>
      <c r="B23" s="3" t="s">
        <v>57</v>
      </c>
      <c r="C23" s="4" t="s">
        <v>34</v>
      </c>
      <c r="D23" s="12">
        <v>34516</v>
      </c>
      <c r="E23" s="12">
        <v>36341</v>
      </c>
      <c r="F23" s="5">
        <v>84.6</v>
      </c>
      <c r="G23" s="5">
        <f t="shared" si="0"/>
        <v>21.15</v>
      </c>
      <c r="H23" s="3"/>
      <c r="I23" s="3"/>
    </row>
    <row r="24" spans="1:9" x14ac:dyDescent="0.3">
      <c r="A24" s="8" t="s">
        <v>83</v>
      </c>
      <c r="B24" s="3" t="s">
        <v>56</v>
      </c>
      <c r="C24" s="4" t="s">
        <v>35</v>
      </c>
      <c r="D24" s="12">
        <v>36342</v>
      </c>
      <c r="E24" s="12">
        <v>37164</v>
      </c>
      <c r="F24" s="5">
        <v>88.83</v>
      </c>
      <c r="G24" s="5">
        <f t="shared" si="0"/>
        <v>22.2075</v>
      </c>
      <c r="H24" s="3"/>
      <c r="I24" s="3"/>
    </row>
    <row r="25" spans="1:9" x14ac:dyDescent="0.3">
      <c r="A25" s="8" t="s">
        <v>83</v>
      </c>
      <c r="B25" s="3" t="s">
        <v>55</v>
      </c>
      <c r="C25" s="4" t="s">
        <v>36</v>
      </c>
      <c r="D25" s="12">
        <v>37165</v>
      </c>
      <c r="E25" s="12">
        <v>37621</v>
      </c>
      <c r="F25" s="5">
        <v>93.27</v>
      </c>
      <c r="G25" s="5">
        <f t="shared" si="0"/>
        <v>23.317499999999999</v>
      </c>
      <c r="H25" s="3"/>
      <c r="I25" s="3"/>
    </row>
    <row r="26" spans="1:9" x14ac:dyDescent="0.3">
      <c r="A26" s="8" t="s">
        <v>83</v>
      </c>
      <c r="B26" s="3">
        <v>2003</v>
      </c>
      <c r="C26" s="4" t="s">
        <v>37</v>
      </c>
      <c r="D26" s="12">
        <v>37622</v>
      </c>
      <c r="E26" s="12">
        <v>37986</v>
      </c>
      <c r="F26" s="5">
        <f>F25*1.05</f>
        <v>97.933499999999995</v>
      </c>
      <c r="G26" s="5">
        <f t="shared" si="0"/>
        <v>24.483374999999999</v>
      </c>
      <c r="H26" s="3"/>
      <c r="I26" s="3"/>
    </row>
    <row r="27" spans="1:9" x14ac:dyDescent="0.3">
      <c r="A27" s="8" t="s">
        <v>83</v>
      </c>
      <c r="B27" s="3">
        <v>2004</v>
      </c>
      <c r="C27" s="4" t="s">
        <v>38</v>
      </c>
      <c r="D27" s="12">
        <v>37987</v>
      </c>
      <c r="E27" s="12">
        <v>38352</v>
      </c>
      <c r="F27" s="5">
        <v>103.22</v>
      </c>
      <c r="G27" s="5">
        <v>25.8</v>
      </c>
      <c r="H27" s="3"/>
      <c r="I27" s="3"/>
    </row>
    <row r="28" spans="1:9" x14ac:dyDescent="0.3">
      <c r="A28" s="8" t="s">
        <v>83</v>
      </c>
      <c r="B28" s="3">
        <v>2005</v>
      </c>
      <c r="C28" s="4" t="s">
        <v>39</v>
      </c>
      <c r="D28" s="12">
        <v>38353</v>
      </c>
      <c r="E28" s="12">
        <v>38717</v>
      </c>
      <c r="F28" s="5">
        <v>114.37</v>
      </c>
      <c r="G28" s="5">
        <f>F28/4</f>
        <v>28.592500000000001</v>
      </c>
      <c r="H28" s="3"/>
      <c r="I28" s="3"/>
    </row>
    <row r="29" spans="1:9" x14ac:dyDescent="0.3">
      <c r="A29" s="8" t="s">
        <v>83</v>
      </c>
      <c r="B29" s="3">
        <v>2006</v>
      </c>
      <c r="C29" s="4" t="s">
        <v>40</v>
      </c>
      <c r="D29" s="12">
        <v>38718</v>
      </c>
      <c r="E29" s="12">
        <v>39082</v>
      </c>
      <c r="F29" s="5">
        <v>120.8</v>
      </c>
      <c r="G29" s="5">
        <f>F29/4</f>
        <v>30.2</v>
      </c>
      <c r="H29" s="3"/>
      <c r="I29" s="3"/>
    </row>
    <row r="30" spans="1:9" x14ac:dyDescent="0.3">
      <c r="A30" s="8" t="s">
        <v>83</v>
      </c>
      <c r="B30" s="3">
        <v>2007</v>
      </c>
      <c r="C30" s="4" t="s">
        <v>41</v>
      </c>
      <c r="D30" s="12">
        <v>39083</v>
      </c>
      <c r="E30" s="12">
        <v>39263</v>
      </c>
      <c r="F30" s="5">
        <v>127.08</v>
      </c>
      <c r="G30" s="5">
        <f>F30/4</f>
        <v>31.77</v>
      </c>
      <c r="H30" s="3"/>
      <c r="I30" s="3"/>
    </row>
    <row r="31" spans="1:9" x14ac:dyDescent="0.3">
      <c r="A31" s="8" t="s">
        <v>83</v>
      </c>
      <c r="B31" s="3">
        <v>2007</v>
      </c>
      <c r="C31" s="4" t="s">
        <v>42</v>
      </c>
      <c r="D31" s="12">
        <v>39264</v>
      </c>
      <c r="E31" s="12">
        <v>39447</v>
      </c>
      <c r="F31" s="5">
        <v>127.08</v>
      </c>
      <c r="G31" s="3"/>
      <c r="H31" s="5">
        <f t="shared" ref="H31:H37" si="1">F31/6</f>
        <v>21.18</v>
      </c>
      <c r="I31" s="3"/>
    </row>
    <row r="32" spans="1:9" x14ac:dyDescent="0.3">
      <c r="A32" s="8" t="s">
        <v>83</v>
      </c>
      <c r="B32" s="3">
        <v>2008</v>
      </c>
      <c r="C32" s="4" t="s">
        <v>43</v>
      </c>
      <c r="D32" s="12">
        <v>39448</v>
      </c>
      <c r="E32" s="12">
        <v>39813</v>
      </c>
      <c r="F32" s="5">
        <v>144.55000000000001</v>
      </c>
      <c r="G32" s="3"/>
      <c r="H32" s="5">
        <f t="shared" si="1"/>
        <v>24.091666666666669</v>
      </c>
      <c r="I32" s="3"/>
    </row>
    <row r="33" spans="1:9" x14ac:dyDescent="0.3">
      <c r="A33" s="8" t="s">
        <v>83</v>
      </c>
      <c r="B33" s="3">
        <v>2009</v>
      </c>
      <c r="C33" s="4" t="s">
        <v>44</v>
      </c>
      <c r="D33" s="12">
        <v>39814</v>
      </c>
      <c r="E33" s="12">
        <v>40178</v>
      </c>
      <c r="F33" s="5">
        <v>144.55000000000001</v>
      </c>
      <c r="G33" s="3"/>
      <c r="H33" s="5">
        <f t="shared" si="1"/>
        <v>24.091666666666669</v>
      </c>
      <c r="I33" s="3"/>
    </row>
    <row r="34" spans="1:9" x14ac:dyDescent="0.3">
      <c r="A34" s="8" t="s">
        <v>83</v>
      </c>
      <c r="B34" s="3">
        <v>2010</v>
      </c>
      <c r="C34" s="4" t="s">
        <v>45</v>
      </c>
      <c r="D34" s="12">
        <v>40179</v>
      </c>
      <c r="E34" s="12">
        <v>40543</v>
      </c>
      <c r="F34" s="5">
        <v>159</v>
      </c>
      <c r="G34" s="3"/>
      <c r="H34" s="5">
        <f t="shared" si="1"/>
        <v>26.5</v>
      </c>
      <c r="I34" s="3"/>
    </row>
    <row r="35" spans="1:9" x14ac:dyDescent="0.3">
      <c r="A35" s="8" t="s">
        <v>83</v>
      </c>
      <c r="B35" s="3">
        <v>2011</v>
      </c>
      <c r="C35" s="4" t="s">
        <v>46</v>
      </c>
      <c r="D35" s="12">
        <v>40544</v>
      </c>
      <c r="E35" s="12">
        <v>40908</v>
      </c>
      <c r="F35" s="5">
        <v>159</v>
      </c>
      <c r="G35" s="3"/>
      <c r="H35" s="5">
        <f t="shared" si="1"/>
        <v>26.5</v>
      </c>
      <c r="I35" s="3"/>
    </row>
    <row r="36" spans="1:9" x14ac:dyDescent="0.3">
      <c r="A36" s="8" t="s">
        <v>83</v>
      </c>
      <c r="B36" s="3">
        <v>2012</v>
      </c>
      <c r="C36" s="4" t="s">
        <v>47</v>
      </c>
      <c r="D36" s="12">
        <v>40909</v>
      </c>
      <c r="E36" s="12">
        <v>41274</v>
      </c>
      <c r="F36" s="5">
        <v>174.9</v>
      </c>
      <c r="G36" s="3"/>
      <c r="H36" s="5">
        <f t="shared" si="1"/>
        <v>29.150000000000002</v>
      </c>
      <c r="I36" s="3"/>
    </row>
    <row r="37" spans="1:9" x14ac:dyDescent="0.3">
      <c r="A37" s="8" t="s">
        <v>83</v>
      </c>
      <c r="B37" s="3">
        <v>2013</v>
      </c>
      <c r="C37" s="4" t="s">
        <v>48</v>
      </c>
      <c r="D37" s="12">
        <v>41275</v>
      </c>
      <c r="E37" s="12">
        <v>41639</v>
      </c>
      <c r="F37" s="5">
        <v>174.9</v>
      </c>
      <c r="G37" s="3"/>
      <c r="H37" s="5">
        <f t="shared" si="1"/>
        <v>29.150000000000002</v>
      </c>
      <c r="I37" s="3"/>
    </row>
    <row r="38" spans="1:9" x14ac:dyDescent="0.3">
      <c r="A38" s="8" t="s">
        <v>83</v>
      </c>
      <c r="B38" s="3">
        <v>2014</v>
      </c>
      <c r="C38" s="4" t="s">
        <v>49</v>
      </c>
      <c r="D38" s="12">
        <v>41640</v>
      </c>
      <c r="E38" s="12">
        <v>42004</v>
      </c>
      <c r="F38" s="5">
        <v>183.6</v>
      </c>
      <c r="G38" s="3"/>
      <c r="H38" s="5">
        <f>F38/6</f>
        <v>30.599999999999998</v>
      </c>
      <c r="I38" s="3"/>
    </row>
    <row r="39" spans="1:9" x14ac:dyDescent="0.3">
      <c r="A39" s="8" t="s">
        <v>83</v>
      </c>
      <c r="B39" s="3">
        <v>2015</v>
      </c>
      <c r="C39" s="4" t="s">
        <v>50</v>
      </c>
      <c r="D39" s="12">
        <v>42005</v>
      </c>
      <c r="E39" s="12">
        <v>42369</v>
      </c>
      <c r="F39" s="5">
        <v>192.78</v>
      </c>
      <c r="G39" s="3"/>
      <c r="H39" s="5">
        <f>F39/6</f>
        <v>32.130000000000003</v>
      </c>
      <c r="I39" s="3"/>
    </row>
    <row r="40" spans="1:9" x14ac:dyDescent="0.3">
      <c r="A40" s="8" t="s">
        <v>83</v>
      </c>
      <c r="B40" s="3">
        <v>2016</v>
      </c>
      <c r="C40" s="4" t="s">
        <v>51</v>
      </c>
      <c r="D40" s="12">
        <v>42370</v>
      </c>
      <c r="E40" s="12">
        <v>42735</v>
      </c>
      <c r="F40" s="5">
        <v>212.04</v>
      </c>
      <c r="G40" s="3"/>
      <c r="H40" s="5">
        <f>F40/6</f>
        <v>35.339999999999996</v>
      </c>
      <c r="I40" s="3"/>
    </row>
    <row r="41" spans="1:9" x14ac:dyDescent="0.3">
      <c r="A41" s="8" t="s">
        <v>83</v>
      </c>
      <c r="B41" s="3">
        <v>2017</v>
      </c>
      <c r="C41" s="4" t="s">
        <v>52</v>
      </c>
      <c r="D41" s="12">
        <v>42736</v>
      </c>
      <c r="E41" s="12">
        <v>43100</v>
      </c>
      <c r="F41" s="5">
        <v>233.28</v>
      </c>
      <c r="G41" s="3"/>
      <c r="H41" s="5">
        <f>F41/6</f>
        <v>38.880000000000003</v>
      </c>
      <c r="I41" s="5">
        <f>+F41/12</f>
        <v>19.440000000000001</v>
      </c>
    </row>
    <row r="42" spans="1:9" x14ac:dyDescent="0.3">
      <c r="A42" s="8" t="s">
        <v>83</v>
      </c>
      <c r="B42" s="3">
        <v>2018</v>
      </c>
      <c r="C42" s="4" t="s">
        <v>53</v>
      </c>
      <c r="D42" s="12">
        <v>43101</v>
      </c>
      <c r="E42" s="12">
        <v>43465</v>
      </c>
      <c r="F42" s="5">
        <v>244.94</v>
      </c>
      <c r="G42" s="3"/>
      <c r="H42" s="3"/>
      <c r="I42" s="5">
        <f>+F42/12</f>
        <v>20.411666666666665</v>
      </c>
    </row>
    <row r="43" spans="1:9" x14ac:dyDescent="0.3">
      <c r="A43" s="8" t="s">
        <v>83</v>
      </c>
      <c r="B43" s="3">
        <v>2019</v>
      </c>
      <c r="C43" s="4" t="s">
        <v>54</v>
      </c>
      <c r="D43" s="12">
        <v>43466</v>
      </c>
      <c r="E43" s="12">
        <v>43830</v>
      </c>
      <c r="F43" s="5">
        <v>244.94</v>
      </c>
      <c r="G43" s="3"/>
      <c r="H43" s="3"/>
      <c r="I43" s="5">
        <f>+F43/12</f>
        <v>20.411666666666665</v>
      </c>
    </row>
    <row r="44" spans="1:9" x14ac:dyDescent="0.3">
      <c r="A44" s="9" t="s">
        <v>84</v>
      </c>
      <c r="B44" s="4" t="s">
        <v>82</v>
      </c>
      <c r="C44" s="4" t="s">
        <v>75</v>
      </c>
      <c r="D44" s="12">
        <v>26665</v>
      </c>
      <c r="E44" s="12">
        <v>27332</v>
      </c>
      <c r="F44" s="5">
        <v>13</v>
      </c>
      <c r="G44" s="5">
        <f t="shared" ref="G44:G62" si="2">SUM(F44/4)</f>
        <v>3.25</v>
      </c>
      <c r="H44" s="3"/>
      <c r="I44" s="7"/>
    </row>
    <row r="45" spans="1:9" x14ac:dyDescent="0.3">
      <c r="A45" s="9" t="s">
        <v>84</v>
      </c>
      <c r="B45" s="3" t="s">
        <v>66</v>
      </c>
      <c r="C45" s="4" t="s">
        <v>21</v>
      </c>
      <c r="D45" s="12">
        <v>27334</v>
      </c>
      <c r="E45" s="12">
        <v>27575</v>
      </c>
      <c r="F45" s="5">
        <v>15.6</v>
      </c>
      <c r="G45" s="5">
        <f t="shared" si="2"/>
        <v>3.9</v>
      </c>
      <c r="H45" s="3"/>
      <c r="I45" s="7"/>
    </row>
    <row r="46" spans="1:9" x14ac:dyDescent="0.3">
      <c r="A46" s="9" t="s">
        <v>84</v>
      </c>
      <c r="B46" s="3" t="s">
        <v>67</v>
      </c>
      <c r="C46" s="4" t="s">
        <v>22</v>
      </c>
      <c r="D46" s="12">
        <v>27576</v>
      </c>
      <c r="E46" s="12">
        <v>28125</v>
      </c>
      <c r="F46" s="5">
        <v>18</v>
      </c>
      <c r="G46" s="5">
        <f t="shared" si="2"/>
        <v>4.5</v>
      </c>
      <c r="H46" s="3"/>
      <c r="I46" s="7"/>
    </row>
    <row r="47" spans="1:9" x14ac:dyDescent="0.3">
      <c r="A47" s="9" t="s">
        <v>84</v>
      </c>
      <c r="B47" s="3">
        <v>1977</v>
      </c>
      <c r="C47" s="4" t="s">
        <v>76</v>
      </c>
      <c r="D47" s="12">
        <v>28126</v>
      </c>
      <c r="E47" s="12">
        <v>28490</v>
      </c>
      <c r="F47" s="5">
        <v>20</v>
      </c>
      <c r="G47" s="5">
        <f t="shared" si="2"/>
        <v>5</v>
      </c>
      <c r="H47" s="3"/>
      <c r="I47" s="7"/>
    </row>
    <row r="48" spans="1:9" x14ac:dyDescent="0.3">
      <c r="A48" s="9" t="s">
        <v>84</v>
      </c>
      <c r="B48" s="3">
        <v>1978</v>
      </c>
      <c r="C48" s="4" t="s">
        <v>77</v>
      </c>
      <c r="D48" s="12">
        <v>28491</v>
      </c>
      <c r="E48" s="12">
        <v>28855</v>
      </c>
      <c r="F48" s="5">
        <v>23.5</v>
      </c>
      <c r="G48" s="5">
        <f t="shared" si="2"/>
        <v>5.875</v>
      </c>
      <c r="H48" s="3"/>
      <c r="I48" s="7"/>
    </row>
    <row r="49" spans="1:9" x14ac:dyDescent="0.3">
      <c r="A49" s="9" t="s">
        <v>84</v>
      </c>
      <c r="B49" s="3">
        <v>1979</v>
      </c>
      <c r="C49" s="4" t="s">
        <v>26</v>
      </c>
      <c r="D49" s="12">
        <v>28856</v>
      </c>
      <c r="E49" s="12">
        <v>29220</v>
      </c>
      <c r="F49" s="5">
        <v>26</v>
      </c>
      <c r="G49" s="5">
        <f t="shared" si="2"/>
        <v>6.5</v>
      </c>
      <c r="H49" s="3"/>
      <c r="I49" s="7"/>
    </row>
    <row r="50" spans="1:9" x14ac:dyDescent="0.3">
      <c r="A50" s="9" t="s">
        <v>84</v>
      </c>
      <c r="B50" s="3" t="s">
        <v>68</v>
      </c>
      <c r="C50" s="4" t="s">
        <v>27</v>
      </c>
      <c r="D50" s="12">
        <v>29221</v>
      </c>
      <c r="E50" s="12">
        <v>29767</v>
      </c>
      <c r="F50" s="5">
        <v>29</v>
      </c>
      <c r="G50" s="5">
        <f t="shared" si="2"/>
        <v>7.25</v>
      </c>
      <c r="H50" s="3"/>
      <c r="I50" s="7"/>
    </row>
    <row r="51" spans="1:9" x14ac:dyDescent="0.3">
      <c r="A51" s="9" t="s">
        <v>84</v>
      </c>
      <c r="B51" s="3" t="s">
        <v>69</v>
      </c>
      <c r="C51" s="4" t="s">
        <v>28</v>
      </c>
      <c r="D51" s="12">
        <v>29768</v>
      </c>
      <c r="E51" s="12">
        <v>30132</v>
      </c>
      <c r="F51" s="5">
        <v>33</v>
      </c>
      <c r="G51" s="5">
        <f t="shared" si="2"/>
        <v>8.25</v>
      </c>
      <c r="H51" s="3"/>
      <c r="I51" s="7"/>
    </row>
    <row r="52" spans="1:9" x14ac:dyDescent="0.3">
      <c r="A52" s="9" t="s">
        <v>84</v>
      </c>
      <c r="B52" s="3" t="s">
        <v>70</v>
      </c>
      <c r="C52" s="4" t="s">
        <v>29</v>
      </c>
      <c r="D52" s="12">
        <v>30133</v>
      </c>
      <c r="E52" s="12">
        <v>29676</v>
      </c>
      <c r="F52" s="5">
        <v>35.9</v>
      </c>
      <c r="G52" s="5">
        <f t="shared" si="2"/>
        <v>8.9749999999999996</v>
      </c>
      <c r="H52" s="3"/>
      <c r="I52" s="7"/>
    </row>
    <row r="53" spans="1:9" x14ac:dyDescent="0.3">
      <c r="A53" s="9" t="s">
        <v>84</v>
      </c>
      <c r="B53" s="3" t="s">
        <v>71</v>
      </c>
      <c r="C53" s="4" t="s">
        <v>30</v>
      </c>
      <c r="D53" s="12">
        <v>30407</v>
      </c>
      <c r="E53" s="12">
        <v>30863</v>
      </c>
      <c r="F53" s="5">
        <v>37.159999999999997</v>
      </c>
      <c r="G53" s="5">
        <f t="shared" si="2"/>
        <v>9.2899999999999991</v>
      </c>
      <c r="H53" s="3"/>
      <c r="I53" s="7"/>
    </row>
    <row r="54" spans="1:9" x14ac:dyDescent="0.3">
      <c r="A54" s="9" t="s">
        <v>84</v>
      </c>
      <c r="B54" s="3" t="s">
        <v>72</v>
      </c>
      <c r="C54" s="4" t="s">
        <v>31</v>
      </c>
      <c r="D54" s="12">
        <v>30864</v>
      </c>
      <c r="E54" s="12">
        <v>31228</v>
      </c>
      <c r="F54" s="5">
        <v>44.72</v>
      </c>
      <c r="G54" s="5">
        <f t="shared" si="2"/>
        <v>11.18</v>
      </c>
      <c r="H54" s="3"/>
      <c r="I54" s="7"/>
    </row>
    <row r="55" spans="1:9" x14ac:dyDescent="0.3">
      <c r="A55" s="9" t="s">
        <v>84</v>
      </c>
      <c r="B55" s="3" t="s">
        <v>73</v>
      </c>
      <c r="C55" s="4" t="s">
        <v>78</v>
      </c>
      <c r="D55" s="12">
        <v>31229</v>
      </c>
      <c r="E55" s="12">
        <v>31593</v>
      </c>
      <c r="F55" s="5">
        <v>49.8</v>
      </c>
      <c r="G55" s="5">
        <f t="shared" si="2"/>
        <v>12.45</v>
      </c>
      <c r="H55" s="3"/>
      <c r="I55" s="7"/>
    </row>
    <row r="56" spans="1:9" x14ac:dyDescent="0.3">
      <c r="A56" s="9" t="s">
        <v>84</v>
      </c>
      <c r="B56" s="3" t="s">
        <v>74</v>
      </c>
      <c r="C56" s="4" t="s">
        <v>79</v>
      </c>
      <c r="D56" s="12">
        <v>31594</v>
      </c>
      <c r="E56" s="12">
        <v>32416</v>
      </c>
      <c r="F56" s="5">
        <v>52.3</v>
      </c>
      <c r="G56" s="5">
        <f t="shared" si="2"/>
        <v>13.074999999999999</v>
      </c>
      <c r="H56" s="3"/>
      <c r="I56" s="7"/>
    </row>
    <row r="57" spans="1:9" x14ac:dyDescent="0.3">
      <c r="A57" s="9" t="s">
        <v>84</v>
      </c>
      <c r="B57" s="3" t="s">
        <v>58</v>
      </c>
      <c r="C57" s="4" t="s">
        <v>33</v>
      </c>
      <c r="D57" s="12">
        <v>32417</v>
      </c>
      <c r="E57" s="12">
        <v>34515</v>
      </c>
      <c r="F57" s="5">
        <v>53.9</v>
      </c>
      <c r="G57" s="5">
        <f t="shared" si="2"/>
        <v>13.475</v>
      </c>
      <c r="H57" s="3"/>
      <c r="I57" s="7"/>
    </row>
    <row r="58" spans="1:9" x14ac:dyDescent="0.3">
      <c r="A58" s="9" t="s">
        <v>84</v>
      </c>
      <c r="B58" s="3" t="s">
        <v>57</v>
      </c>
      <c r="C58" s="4" t="s">
        <v>34</v>
      </c>
      <c r="D58" s="12">
        <v>34516</v>
      </c>
      <c r="E58" s="12">
        <v>36341</v>
      </c>
      <c r="F58" s="5">
        <v>56</v>
      </c>
      <c r="G58" s="5">
        <f t="shared" si="2"/>
        <v>14</v>
      </c>
      <c r="H58" s="3"/>
      <c r="I58" s="7"/>
    </row>
    <row r="59" spans="1:9" x14ac:dyDescent="0.3">
      <c r="A59" s="9" t="s">
        <v>84</v>
      </c>
      <c r="B59" s="3" t="s">
        <v>56</v>
      </c>
      <c r="C59" s="4" t="s">
        <v>35</v>
      </c>
      <c r="D59" s="12">
        <v>36342</v>
      </c>
      <c r="E59" s="12">
        <v>37164</v>
      </c>
      <c r="F59" s="5">
        <v>58.8</v>
      </c>
      <c r="G59" s="5">
        <f t="shared" si="2"/>
        <v>14.7</v>
      </c>
      <c r="H59" s="3"/>
      <c r="I59" s="7"/>
    </row>
    <row r="60" spans="1:9" x14ac:dyDescent="0.3">
      <c r="A60" s="9" t="s">
        <v>84</v>
      </c>
      <c r="B60" s="3" t="s">
        <v>55</v>
      </c>
      <c r="C60" s="4" t="s">
        <v>36</v>
      </c>
      <c r="D60" s="12">
        <v>37165</v>
      </c>
      <c r="E60" s="12">
        <v>37621</v>
      </c>
      <c r="F60" s="5">
        <v>61.74</v>
      </c>
      <c r="G60" s="5">
        <f t="shared" si="2"/>
        <v>15.435</v>
      </c>
      <c r="H60" s="3"/>
      <c r="I60" s="7"/>
    </row>
    <row r="61" spans="1:9" x14ac:dyDescent="0.3">
      <c r="A61" s="9" t="s">
        <v>84</v>
      </c>
      <c r="B61" s="3">
        <v>2003</v>
      </c>
      <c r="C61" s="4" t="s">
        <v>37</v>
      </c>
      <c r="D61" s="12">
        <v>37622</v>
      </c>
      <c r="E61" s="12">
        <v>37986</v>
      </c>
      <c r="F61" s="5">
        <f>F60*1.05</f>
        <v>64.826999999999998</v>
      </c>
      <c r="G61" s="5">
        <f t="shared" si="2"/>
        <v>16.20675</v>
      </c>
      <c r="H61" s="3"/>
      <c r="I61" s="7"/>
    </row>
    <row r="62" spans="1:9" x14ac:dyDescent="0.3">
      <c r="A62" s="9" t="s">
        <v>84</v>
      </c>
      <c r="B62" s="3">
        <v>2004</v>
      </c>
      <c r="C62" s="4" t="s">
        <v>38</v>
      </c>
      <c r="D62" s="12">
        <v>37987</v>
      </c>
      <c r="E62" s="12">
        <v>38352</v>
      </c>
      <c r="F62" s="5">
        <v>68.33</v>
      </c>
      <c r="G62" s="5">
        <f t="shared" si="2"/>
        <v>17.0825</v>
      </c>
      <c r="H62" s="3"/>
      <c r="I62" s="7"/>
    </row>
    <row r="63" spans="1:9" x14ac:dyDescent="0.3">
      <c r="A63" s="9" t="s">
        <v>84</v>
      </c>
      <c r="B63" s="3">
        <v>2005</v>
      </c>
      <c r="C63" s="4" t="s">
        <v>39</v>
      </c>
      <c r="D63" s="12">
        <v>38353</v>
      </c>
      <c r="E63" s="12">
        <v>38717</v>
      </c>
      <c r="F63" s="5">
        <v>75.709999999999994</v>
      </c>
      <c r="G63" s="5">
        <f>F63/4</f>
        <v>18.927499999999998</v>
      </c>
      <c r="H63" s="3"/>
      <c r="I63" s="7"/>
    </row>
    <row r="64" spans="1:9" x14ac:dyDescent="0.3">
      <c r="A64" s="9" t="s">
        <v>84</v>
      </c>
      <c r="B64" s="3">
        <v>2006</v>
      </c>
      <c r="C64" s="4" t="s">
        <v>80</v>
      </c>
      <c r="D64" s="12">
        <v>38718</v>
      </c>
      <c r="E64" s="12">
        <v>39082</v>
      </c>
      <c r="F64" s="5">
        <v>79.959999999999994</v>
      </c>
      <c r="G64" s="5">
        <f>F64/4</f>
        <v>19.989999999999998</v>
      </c>
      <c r="H64" s="3"/>
      <c r="I64" s="7"/>
    </row>
    <row r="65" spans="1:9" x14ac:dyDescent="0.3">
      <c r="A65" s="9" t="s">
        <v>84</v>
      </c>
      <c r="B65" s="3">
        <v>2007</v>
      </c>
      <c r="C65" s="2" t="s">
        <v>41</v>
      </c>
      <c r="D65" s="13">
        <v>39083</v>
      </c>
      <c r="E65" s="13">
        <v>39263</v>
      </c>
      <c r="F65" s="6">
        <v>84.12</v>
      </c>
      <c r="G65" s="6">
        <f>F65/4</f>
        <v>21.03</v>
      </c>
      <c r="H65" s="3"/>
      <c r="I65" s="7"/>
    </row>
    <row r="66" spans="1:9" x14ac:dyDescent="0.3">
      <c r="A66" s="9" t="s">
        <v>84</v>
      </c>
      <c r="B66" s="3">
        <v>2007</v>
      </c>
      <c r="C66" s="4" t="s">
        <v>42</v>
      </c>
      <c r="D66" s="12">
        <v>39264</v>
      </c>
      <c r="E66" s="12">
        <v>39447</v>
      </c>
      <c r="F66" s="5">
        <v>84.12</v>
      </c>
      <c r="G66" s="7"/>
      <c r="H66" s="5">
        <f t="shared" ref="H66:H72" si="3">F66/6</f>
        <v>14.020000000000001</v>
      </c>
      <c r="I66" s="7"/>
    </row>
    <row r="67" spans="1:9" x14ac:dyDescent="0.3">
      <c r="A67" s="9" t="s">
        <v>84</v>
      </c>
      <c r="B67" s="3">
        <v>2008</v>
      </c>
      <c r="C67" s="2" t="s">
        <v>43</v>
      </c>
      <c r="D67" s="13">
        <v>39448</v>
      </c>
      <c r="E67" s="13">
        <v>39813</v>
      </c>
      <c r="F67" s="6">
        <v>95.7</v>
      </c>
      <c r="G67" s="7"/>
      <c r="H67" s="6">
        <f t="shared" si="3"/>
        <v>15.950000000000001</v>
      </c>
      <c r="I67" s="7"/>
    </row>
    <row r="68" spans="1:9" x14ac:dyDescent="0.3">
      <c r="A68" s="9" t="s">
        <v>84</v>
      </c>
      <c r="B68" s="3">
        <v>2009</v>
      </c>
      <c r="C68" s="2" t="s">
        <v>44</v>
      </c>
      <c r="D68" s="13">
        <v>39814</v>
      </c>
      <c r="E68" s="13">
        <v>40178</v>
      </c>
      <c r="F68" s="6">
        <v>95.7</v>
      </c>
      <c r="G68" s="7"/>
      <c r="H68" s="6">
        <f t="shared" si="3"/>
        <v>15.950000000000001</v>
      </c>
      <c r="I68" s="7"/>
    </row>
    <row r="69" spans="1:9" x14ac:dyDescent="0.3">
      <c r="A69" s="9" t="s">
        <v>84</v>
      </c>
      <c r="B69" s="3">
        <v>2010</v>
      </c>
      <c r="C69" s="4" t="s">
        <v>45</v>
      </c>
      <c r="D69" s="13">
        <v>40179</v>
      </c>
      <c r="E69" s="12">
        <v>40543</v>
      </c>
      <c r="F69" s="5">
        <v>105.27</v>
      </c>
      <c r="G69" s="7"/>
      <c r="H69" s="5">
        <f t="shared" si="3"/>
        <v>17.544999999999998</v>
      </c>
      <c r="I69" s="7"/>
    </row>
    <row r="70" spans="1:9" x14ac:dyDescent="0.3">
      <c r="A70" s="9" t="s">
        <v>84</v>
      </c>
      <c r="B70" s="3">
        <v>2011</v>
      </c>
      <c r="C70" s="4" t="s">
        <v>46</v>
      </c>
      <c r="D70" s="13">
        <v>40544</v>
      </c>
      <c r="E70" s="12">
        <v>40908</v>
      </c>
      <c r="F70" s="5">
        <v>105.27</v>
      </c>
      <c r="G70" s="7"/>
      <c r="H70" s="5">
        <f t="shared" si="3"/>
        <v>17.544999999999998</v>
      </c>
      <c r="I70" s="7"/>
    </row>
    <row r="71" spans="1:9" x14ac:dyDescent="0.3">
      <c r="A71" s="9" t="s">
        <v>84</v>
      </c>
      <c r="B71" s="3">
        <v>2012</v>
      </c>
      <c r="C71" s="4" t="s">
        <v>47</v>
      </c>
      <c r="D71" s="13">
        <v>40909</v>
      </c>
      <c r="E71" s="12">
        <v>41274</v>
      </c>
      <c r="F71" s="5">
        <v>115.8</v>
      </c>
      <c r="G71" s="7"/>
      <c r="H71" s="5">
        <f t="shared" si="3"/>
        <v>19.3</v>
      </c>
      <c r="I71" s="7"/>
    </row>
    <row r="72" spans="1:9" x14ac:dyDescent="0.3">
      <c r="A72" s="9" t="s">
        <v>84</v>
      </c>
      <c r="B72" s="3">
        <v>2013</v>
      </c>
      <c r="C72" s="4" t="s">
        <v>48</v>
      </c>
      <c r="D72" s="13">
        <v>41275</v>
      </c>
      <c r="E72" s="12">
        <v>41639</v>
      </c>
      <c r="F72" s="5">
        <v>115.8</v>
      </c>
      <c r="G72" s="7"/>
      <c r="H72" s="5">
        <f t="shared" si="3"/>
        <v>19.3</v>
      </c>
      <c r="I72" s="7"/>
    </row>
    <row r="73" spans="1:9" x14ac:dyDescent="0.3">
      <c r="A73" s="9" t="s">
        <v>84</v>
      </c>
      <c r="B73" s="3">
        <v>2014</v>
      </c>
      <c r="C73" s="4" t="s">
        <v>49</v>
      </c>
      <c r="D73" s="13">
        <v>41640</v>
      </c>
      <c r="E73" s="12">
        <v>42004</v>
      </c>
      <c r="F73" s="5">
        <v>121.56</v>
      </c>
      <c r="G73" s="7"/>
      <c r="H73" s="5">
        <f>F73/6</f>
        <v>20.260000000000002</v>
      </c>
      <c r="I73" s="7"/>
    </row>
    <row r="74" spans="1:9" x14ac:dyDescent="0.3">
      <c r="A74" s="9" t="s">
        <v>84</v>
      </c>
      <c r="B74" s="3">
        <v>2015</v>
      </c>
      <c r="C74" s="4" t="s">
        <v>50</v>
      </c>
      <c r="D74" s="13">
        <v>42005</v>
      </c>
      <c r="E74" s="12">
        <v>42369</v>
      </c>
      <c r="F74" s="5">
        <v>127.62</v>
      </c>
      <c r="G74" s="7"/>
      <c r="H74" s="5">
        <f>F74/6</f>
        <v>21.27</v>
      </c>
      <c r="I74" s="7"/>
    </row>
    <row r="75" spans="1:9" x14ac:dyDescent="0.3">
      <c r="A75" s="9" t="s">
        <v>84</v>
      </c>
      <c r="B75" s="3">
        <v>2016</v>
      </c>
      <c r="C75" s="4" t="s">
        <v>51</v>
      </c>
      <c r="D75" s="13">
        <v>42370</v>
      </c>
      <c r="E75" s="12">
        <v>42735</v>
      </c>
      <c r="F75" s="5">
        <v>140.4</v>
      </c>
      <c r="G75" s="7"/>
      <c r="H75" s="5">
        <f>F75/6</f>
        <v>23.400000000000002</v>
      </c>
      <c r="I75" s="7"/>
    </row>
    <row r="76" spans="1:9" x14ac:dyDescent="0.3">
      <c r="A76" s="9" t="s">
        <v>84</v>
      </c>
      <c r="B76" s="3">
        <v>2017</v>
      </c>
      <c r="C76" s="4" t="s">
        <v>52</v>
      </c>
      <c r="D76" s="13">
        <v>42736</v>
      </c>
      <c r="E76" s="12">
        <v>43100</v>
      </c>
      <c r="F76" s="5">
        <v>154.44</v>
      </c>
      <c r="G76" s="7"/>
      <c r="H76" s="5">
        <f>F76/6</f>
        <v>25.74</v>
      </c>
      <c r="I76" s="5">
        <f>F76/12</f>
        <v>12.87</v>
      </c>
    </row>
    <row r="77" spans="1:9" x14ac:dyDescent="0.3">
      <c r="A77" s="9" t="s">
        <v>84</v>
      </c>
      <c r="B77" s="3">
        <v>2018</v>
      </c>
      <c r="C77" s="4" t="s">
        <v>53</v>
      </c>
      <c r="D77" s="13">
        <v>43101</v>
      </c>
      <c r="E77" s="12">
        <v>43465</v>
      </c>
      <c r="F77" s="5">
        <v>162.16</v>
      </c>
      <c r="G77" s="7"/>
      <c r="H77" s="3"/>
      <c r="I77" s="5">
        <f>F77/12</f>
        <v>13.513333333333334</v>
      </c>
    </row>
    <row r="78" spans="1:9" x14ac:dyDescent="0.3">
      <c r="A78" s="9" t="s">
        <v>84</v>
      </c>
      <c r="B78" s="3">
        <v>2019</v>
      </c>
      <c r="C78" s="4" t="s">
        <v>81</v>
      </c>
      <c r="D78" s="13">
        <v>43466</v>
      </c>
      <c r="E78" s="12">
        <v>43830</v>
      </c>
      <c r="F78" s="5">
        <v>162.16</v>
      </c>
      <c r="G78" s="7"/>
      <c r="H78" s="3"/>
      <c r="I78" s="5">
        <f>F78/12</f>
        <v>13.513333333333334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973A-6F8D-49CE-B01E-2F547F23BCBE}">
  <dimension ref="A1:G78"/>
  <sheetViews>
    <sheetView workbookViewId="0"/>
  </sheetViews>
  <sheetFormatPr baseColWidth="10" defaultRowHeight="15.6" x14ac:dyDescent="0.3"/>
  <cols>
    <col min="1" max="1" width="13.09765625" bestFit="1" customWidth="1"/>
    <col min="2" max="2" width="20.09765625" style="14" bestFit="1" customWidth="1"/>
    <col min="3" max="3" width="17.19921875" style="14" bestFit="1" customWidth="1"/>
    <col min="4" max="4" width="21.59765625" bestFit="1" customWidth="1"/>
    <col min="5" max="5" width="24" bestFit="1" customWidth="1"/>
    <col min="6" max="6" width="23" bestFit="1" customWidth="1"/>
    <col min="7" max="7" width="22.69921875" bestFit="1" customWidth="1"/>
  </cols>
  <sheetData>
    <row r="1" spans="1:7" x14ac:dyDescent="0.3">
      <c r="A1" t="s">
        <v>1</v>
      </c>
      <c r="B1" s="14" t="s">
        <v>59</v>
      </c>
      <c r="C1" s="14" t="s">
        <v>60</v>
      </c>
      <c r="D1" t="s">
        <v>12</v>
      </c>
      <c r="E1" t="s">
        <v>7</v>
      </c>
      <c r="F1" t="s">
        <v>8</v>
      </c>
      <c r="G1" t="s">
        <v>9</v>
      </c>
    </row>
    <row r="2" spans="1:7" x14ac:dyDescent="0.3">
      <c r="A2" t="s">
        <v>83</v>
      </c>
      <c r="B2" s="14">
        <v>21186</v>
      </c>
      <c r="C2" s="14">
        <v>22281</v>
      </c>
      <c r="D2">
        <v>16.7</v>
      </c>
      <c r="E2">
        <v>4.1749999999999998</v>
      </c>
      <c r="F2" t="s">
        <v>85</v>
      </c>
      <c r="G2" t="s">
        <v>85</v>
      </c>
    </row>
    <row r="3" spans="1:7" x14ac:dyDescent="0.3">
      <c r="A3" t="s">
        <v>83</v>
      </c>
      <c r="B3" s="14">
        <v>22282</v>
      </c>
      <c r="C3" s="14">
        <v>22646</v>
      </c>
      <c r="D3">
        <v>19</v>
      </c>
      <c r="E3">
        <v>4.75</v>
      </c>
      <c r="F3" t="s">
        <v>85</v>
      </c>
      <c r="G3" t="s">
        <v>85</v>
      </c>
    </row>
    <row r="4" spans="1:7" x14ac:dyDescent="0.3">
      <c r="A4" t="s">
        <v>83</v>
      </c>
      <c r="B4" s="14">
        <v>22647</v>
      </c>
      <c r="C4" s="14">
        <v>23011</v>
      </c>
      <c r="D4">
        <v>20</v>
      </c>
      <c r="E4">
        <v>5</v>
      </c>
      <c r="F4" t="s">
        <v>85</v>
      </c>
      <c r="G4" t="s">
        <v>85</v>
      </c>
    </row>
    <row r="5" spans="1:7" x14ac:dyDescent="0.3">
      <c r="A5" t="s">
        <v>83</v>
      </c>
      <c r="B5" s="14">
        <v>23012</v>
      </c>
      <c r="C5" s="14">
        <v>23558</v>
      </c>
      <c r="D5">
        <v>21</v>
      </c>
      <c r="E5">
        <v>5.25</v>
      </c>
      <c r="F5" t="s">
        <v>85</v>
      </c>
      <c r="G5" t="s">
        <v>85</v>
      </c>
    </row>
    <row r="6" spans="1:7" x14ac:dyDescent="0.3">
      <c r="A6" t="s">
        <v>83</v>
      </c>
      <c r="B6" s="14">
        <v>23559</v>
      </c>
      <c r="C6" s="14">
        <v>24288</v>
      </c>
      <c r="D6">
        <v>22.6</v>
      </c>
      <c r="E6">
        <v>5.65</v>
      </c>
      <c r="F6" t="s">
        <v>85</v>
      </c>
      <c r="G6" t="s">
        <v>85</v>
      </c>
    </row>
    <row r="7" spans="1:7" x14ac:dyDescent="0.3">
      <c r="A7" t="s">
        <v>83</v>
      </c>
      <c r="B7" s="14">
        <v>24289</v>
      </c>
      <c r="C7" s="14">
        <v>26572</v>
      </c>
      <c r="D7">
        <v>23.4</v>
      </c>
      <c r="E7">
        <v>5.85</v>
      </c>
      <c r="F7" t="s">
        <v>85</v>
      </c>
      <c r="G7" t="s">
        <v>85</v>
      </c>
    </row>
    <row r="8" spans="1:7" x14ac:dyDescent="0.3">
      <c r="A8" t="s">
        <v>83</v>
      </c>
      <c r="B8" s="14">
        <v>26573</v>
      </c>
      <c r="C8" s="14">
        <v>27119</v>
      </c>
      <c r="D8">
        <v>25.04</v>
      </c>
      <c r="E8">
        <v>6.26</v>
      </c>
      <c r="F8" t="s">
        <v>85</v>
      </c>
      <c r="G8" t="s">
        <v>85</v>
      </c>
    </row>
    <row r="9" spans="1:7" x14ac:dyDescent="0.3">
      <c r="A9" t="s">
        <v>83</v>
      </c>
      <c r="B9" s="14">
        <v>27120</v>
      </c>
      <c r="C9" s="14">
        <v>27332</v>
      </c>
      <c r="D9">
        <v>26.85</v>
      </c>
      <c r="E9">
        <v>6.7125000000000004</v>
      </c>
      <c r="F9" t="s">
        <v>85</v>
      </c>
      <c r="G9" t="s">
        <v>85</v>
      </c>
    </row>
    <row r="10" spans="1:7" x14ac:dyDescent="0.3">
      <c r="A10" t="s">
        <v>83</v>
      </c>
      <c r="B10" s="14">
        <v>27334</v>
      </c>
      <c r="C10" s="14">
        <v>27575</v>
      </c>
      <c r="D10">
        <v>32.22</v>
      </c>
      <c r="E10">
        <v>8.0549999999999997</v>
      </c>
      <c r="F10" t="s">
        <v>85</v>
      </c>
      <c r="G10" t="s">
        <v>85</v>
      </c>
    </row>
    <row r="11" spans="1:7" x14ac:dyDescent="0.3">
      <c r="A11" t="s">
        <v>83</v>
      </c>
      <c r="B11" s="14">
        <v>27576</v>
      </c>
      <c r="C11" s="14">
        <v>28125</v>
      </c>
      <c r="D11">
        <v>33.06</v>
      </c>
      <c r="E11">
        <v>8.2650000000000006</v>
      </c>
      <c r="F11" t="s">
        <v>85</v>
      </c>
      <c r="G11" t="s">
        <v>85</v>
      </c>
    </row>
    <row r="12" spans="1:7" x14ac:dyDescent="0.3">
      <c r="A12" t="s">
        <v>83</v>
      </c>
      <c r="B12" s="14">
        <v>28126</v>
      </c>
      <c r="C12" s="14">
        <v>28490</v>
      </c>
      <c r="D12">
        <v>37.9</v>
      </c>
      <c r="E12">
        <v>9.4749999999999996</v>
      </c>
      <c r="F12" t="s">
        <v>85</v>
      </c>
      <c r="G12" t="s">
        <v>85</v>
      </c>
    </row>
    <row r="13" spans="1:7" x14ac:dyDescent="0.3">
      <c r="A13" t="s">
        <v>83</v>
      </c>
      <c r="B13" s="14">
        <v>28491</v>
      </c>
      <c r="C13" s="14">
        <v>28855</v>
      </c>
      <c r="D13">
        <v>44.3</v>
      </c>
      <c r="E13">
        <v>11.074999999999999</v>
      </c>
      <c r="F13" t="s">
        <v>85</v>
      </c>
      <c r="G13" t="s">
        <v>85</v>
      </c>
    </row>
    <row r="14" spans="1:7" x14ac:dyDescent="0.3">
      <c r="A14" t="s">
        <v>83</v>
      </c>
      <c r="B14" s="14">
        <v>28856</v>
      </c>
      <c r="C14" s="14">
        <v>29220</v>
      </c>
      <c r="D14">
        <v>46.6</v>
      </c>
      <c r="E14">
        <v>11.65</v>
      </c>
      <c r="F14" t="s">
        <v>85</v>
      </c>
      <c r="G14" t="s">
        <v>85</v>
      </c>
    </row>
    <row r="15" spans="1:7" x14ac:dyDescent="0.3">
      <c r="A15" t="s">
        <v>83</v>
      </c>
      <c r="B15" s="14">
        <v>29221</v>
      </c>
      <c r="C15" s="14">
        <v>29767</v>
      </c>
      <c r="D15">
        <v>51</v>
      </c>
      <c r="E15">
        <v>12.75</v>
      </c>
      <c r="F15" t="s">
        <v>85</v>
      </c>
      <c r="G15" t="s">
        <v>85</v>
      </c>
    </row>
    <row r="16" spans="1:7" x14ac:dyDescent="0.3">
      <c r="A16" t="s">
        <v>83</v>
      </c>
      <c r="B16" s="14">
        <v>29768</v>
      </c>
      <c r="C16" s="14">
        <v>30132</v>
      </c>
      <c r="D16">
        <v>56</v>
      </c>
      <c r="E16">
        <v>14</v>
      </c>
      <c r="F16" t="s">
        <v>85</v>
      </c>
      <c r="G16" t="s">
        <v>85</v>
      </c>
    </row>
    <row r="17" spans="1:7" x14ac:dyDescent="0.3">
      <c r="A17" t="s">
        <v>83</v>
      </c>
      <c r="B17" s="14">
        <v>30133</v>
      </c>
      <c r="C17" s="14">
        <v>29676</v>
      </c>
      <c r="D17">
        <v>59</v>
      </c>
      <c r="E17">
        <v>14.75</v>
      </c>
      <c r="F17" t="s">
        <v>85</v>
      </c>
      <c r="G17" t="s">
        <v>85</v>
      </c>
    </row>
    <row r="18" spans="1:7" x14ac:dyDescent="0.3">
      <c r="A18" t="s">
        <v>83</v>
      </c>
      <c r="B18" s="14">
        <v>30407</v>
      </c>
      <c r="C18" s="14">
        <v>30863</v>
      </c>
      <c r="D18">
        <v>67.099999999999994</v>
      </c>
      <c r="E18">
        <v>16.774999999999999</v>
      </c>
      <c r="F18" t="s">
        <v>85</v>
      </c>
      <c r="G18" t="s">
        <v>85</v>
      </c>
    </row>
    <row r="19" spans="1:7" x14ac:dyDescent="0.3">
      <c r="A19" t="s">
        <v>83</v>
      </c>
      <c r="B19" s="14">
        <v>30864</v>
      </c>
      <c r="C19" s="14">
        <v>31228</v>
      </c>
      <c r="D19">
        <v>69.45</v>
      </c>
      <c r="E19">
        <v>17.362500000000001</v>
      </c>
      <c r="F19" t="s">
        <v>85</v>
      </c>
      <c r="G19" t="s">
        <v>85</v>
      </c>
    </row>
    <row r="20" spans="1:7" x14ac:dyDescent="0.3">
      <c r="A20" t="s">
        <v>83</v>
      </c>
      <c r="B20" s="14">
        <v>31229</v>
      </c>
      <c r="C20" s="14">
        <v>31593</v>
      </c>
      <c r="D20">
        <v>75.3</v>
      </c>
      <c r="E20">
        <v>18.824999999999999</v>
      </c>
      <c r="F20" t="s">
        <v>85</v>
      </c>
      <c r="G20" t="s">
        <v>85</v>
      </c>
    </row>
    <row r="21" spans="1:7" x14ac:dyDescent="0.3">
      <c r="A21" t="s">
        <v>83</v>
      </c>
      <c r="B21" s="14">
        <v>31594</v>
      </c>
      <c r="C21" s="14">
        <v>32416</v>
      </c>
      <c r="D21">
        <v>79.599999999999994</v>
      </c>
      <c r="E21">
        <v>19.899999999999999</v>
      </c>
      <c r="F21" t="s">
        <v>85</v>
      </c>
      <c r="G21" t="s">
        <v>85</v>
      </c>
    </row>
    <row r="22" spans="1:7" x14ac:dyDescent="0.3">
      <c r="A22" t="s">
        <v>83</v>
      </c>
      <c r="B22" s="14">
        <v>32417</v>
      </c>
      <c r="C22" s="14">
        <v>34515</v>
      </c>
      <c r="D22">
        <v>81.400000000000006</v>
      </c>
      <c r="E22">
        <v>20.350000000000001</v>
      </c>
      <c r="F22" t="s">
        <v>85</v>
      </c>
      <c r="G22" t="s">
        <v>85</v>
      </c>
    </row>
    <row r="23" spans="1:7" x14ac:dyDescent="0.3">
      <c r="A23" t="s">
        <v>83</v>
      </c>
      <c r="B23" s="14">
        <v>34516</v>
      </c>
      <c r="C23" s="14">
        <v>36341</v>
      </c>
      <c r="D23">
        <v>84.6</v>
      </c>
      <c r="E23">
        <v>21.15</v>
      </c>
      <c r="F23" t="s">
        <v>85</v>
      </c>
      <c r="G23" t="s">
        <v>85</v>
      </c>
    </row>
    <row r="24" spans="1:7" x14ac:dyDescent="0.3">
      <c r="A24" t="s">
        <v>83</v>
      </c>
      <c r="B24" s="14">
        <v>36342</v>
      </c>
      <c r="C24" s="14">
        <v>37164</v>
      </c>
      <c r="D24">
        <v>88.83</v>
      </c>
      <c r="E24">
        <v>22.2075</v>
      </c>
      <c r="F24" t="s">
        <v>85</v>
      </c>
      <c r="G24" t="s">
        <v>85</v>
      </c>
    </row>
    <row r="25" spans="1:7" x14ac:dyDescent="0.3">
      <c r="A25" t="s">
        <v>83</v>
      </c>
      <c r="B25" s="14">
        <v>37165</v>
      </c>
      <c r="C25" s="14">
        <v>37621</v>
      </c>
      <c r="D25">
        <v>93.27</v>
      </c>
      <c r="E25">
        <v>23.317499999999999</v>
      </c>
      <c r="F25" t="s">
        <v>85</v>
      </c>
      <c r="G25" t="s">
        <v>85</v>
      </c>
    </row>
    <row r="26" spans="1:7" x14ac:dyDescent="0.3">
      <c r="A26" t="s">
        <v>83</v>
      </c>
      <c r="B26" s="14">
        <v>37622</v>
      </c>
      <c r="C26" s="14">
        <v>37986</v>
      </c>
      <c r="D26">
        <v>97.933499999999995</v>
      </c>
      <c r="E26">
        <v>24.483374999999999</v>
      </c>
      <c r="F26" t="s">
        <v>85</v>
      </c>
      <c r="G26" t="s">
        <v>85</v>
      </c>
    </row>
    <row r="27" spans="1:7" x14ac:dyDescent="0.3">
      <c r="A27" t="s">
        <v>83</v>
      </c>
      <c r="B27" s="14">
        <v>37987</v>
      </c>
      <c r="C27" s="14">
        <v>38352</v>
      </c>
      <c r="D27">
        <v>103.22</v>
      </c>
      <c r="E27">
        <v>25.8</v>
      </c>
      <c r="F27" t="s">
        <v>85</v>
      </c>
      <c r="G27" t="s">
        <v>85</v>
      </c>
    </row>
    <row r="28" spans="1:7" x14ac:dyDescent="0.3">
      <c r="A28" t="s">
        <v>83</v>
      </c>
      <c r="B28" s="14">
        <v>38353</v>
      </c>
      <c r="C28" s="14">
        <v>38717</v>
      </c>
      <c r="D28">
        <v>114.37</v>
      </c>
      <c r="E28">
        <v>28.592500000000001</v>
      </c>
      <c r="F28" t="s">
        <v>85</v>
      </c>
      <c r="G28" t="s">
        <v>85</v>
      </c>
    </row>
    <row r="29" spans="1:7" x14ac:dyDescent="0.3">
      <c r="A29" t="s">
        <v>83</v>
      </c>
      <c r="B29" s="14">
        <v>38718</v>
      </c>
      <c r="C29" s="14">
        <v>39082</v>
      </c>
      <c r="D29">
        <v>120.8</v>
      </c>
      <c r="E29">
        <v>30.2</v>
      </c>
      <c r="F29" t="s">
        <v>85</v>
      </c>
      <c r="G29" t="s">
        <v>85</v>
      </c>
    </row>
    <row r="30" spans="1:7" x14ac:dyDescent="0.3">
      <c r="A30" t="s">
        <v>83</v>
      </c>
      <c r="B30" s="14">
        <v>39083</v>
      </c>
      <c r="C30" s="14">
        <v>39263</v>
      </c>
      <c r="D30">
        <v>127.08</v>
      </c>
      <c r="E30">
        <v>31.77</v>
      </c>
      <c r="F30" t="s">
        <v>85</v>
      </c>
      <c r="G30" t="s">
        <v>85</v>
      </c>
    </row>
    <row r="31" spans="1:7" x14ac:dyDescent="0.3">
      <c r="A31" t="s">
        <v>83</v>
      </c>
      <c r="B31" s="14">
        <v>39264</v>
      </c>
      <c r="C31" s="14">
        <v>39447</v>
      </c>
      <c r="D31">
        <v>127.08</v>
      </c>
      <c r="E31" t="s">
        <v>85</v>
      </c>
      <c r="F31">
        <v>21.18</v>
      </c>
      <c r="G31" t="s">
        <v>85</v>
      </c>
    </row>
    <row r="32" spans="1:7" x14ac:dyDescent="0.3">
      <c r="A32" t="s">
        <v>83</v>
      </c>
      <c r="B32" s="14">
        <v>39448</v>
      </c>
      <c r="C32" s="14">
        <v>39813</v>
      </c>
      <c r="D32">
        <v>144.55000000000001</v>
      </c>
      <c r="E32" t="s">
        <v>85</v>
      </c>
      <c r="F32">
        <v>24.091666666666669</v>
      </c>
      <c r="G32" t="s">
        <v>85</v>
      </c>
    </row>
    <row r="33" spans="1:7" x14ac:dyDescent="0.3">
      <c r="A33" t="s">
        <v>83</v>
      </c>
      <c r="B33" s="14">
        <v>39814</v>
      </c>
      <c r="C33" s="14">
        <v>40178</v>
      </c>
      <c r="D33">
        <v>144.55000000000001</v>
      </c>
      <c r="E33" t="s">
        <v>85</v>
      </c>
      <c r="F33">
        <v>24.091666666666669</v>
      </c>
      <c r="G33" t="s">
        <v>85</v>
      </c>
    </row>
    <row r="34" spans="1:7" x14ac:dyDescent="0.3">
      <c r="A34" t="s">
        <v>83</v>
      </c>
      <c r="B34" s="14">
        <v>40179</v>
      </c>
      <c r="C34" s="14">
        <v>40543</v>
      </c>
      <c r="D34">
        <v>159</v>
      </c>
      <c r="E34" t="s">
        <v>85</v>
      </c>
      <c r="F34">
        <v>26.5</v>
      </c>
      <c r="G34" t="s">
        <v>85</v>
      </c>
    </row>
    <row r="35" spans="1:7" x14ac:dyDescent="0.3">
      <c r="A35" t="s">
        <v>83</v>
      </c>
      <c r="B35" s="14">
        <v>40544</v>
      </c>
      <c r="C35" s="14">
        <v>40908</v>
      </c>
      <c r="D35">
        <v>159</v>
      </c>
      <c r="E35" t="s">
        <v>85</v>
      </c>
      <c r="F35">
        <v>26.5</v>
      </c>
      <c r="G35" t="s">
        <v>85</v>
      </c>
    </row>
    <row r="36" spans="1:7" x14ac:dyDescent="0.3">
      <c r="A36" t="s">
        <v>83</v>
      </c>
      <c r="B36" s="14">
        <v>40909</v>
      </c>
      <c r="C36" s="14">
        <v>41274</v>
      </c>
      <c r="D36">
        <v>174.9</v>
      </c>
      <c r="E36" t="s">
        <v>85</v>
      </c>
      <c r="F36">
        <v>29.150000000000002</v>
      </c>
      <c r="G36" t="s">
        <v>85</v>
      </c>
    </row>
    <row r="37" spans="1:7" x14ac:dyDescent="0.3">
      <c r="A37" t="s">
        <v>83</v>
      </c>
      <c r="B37" s="14">
        <v>41275</v>
      </c>
      <c r="C37" s="14">
        <v>41639</v>
      </c>
      <c r="D37">
        <v>174.9</v>
      </c>
      <c r="E37" t="s">
        <v>85</v>
      </c>
      <c r="F37">
        <v>29.150000000000002</v>
      </c>
      <c r="G37" t="s">
        <v>85</v>
      </c>
    </row>
    <row r="38" spans="1:7" x14ac:dyDescent="0.3">
      <c r="A38" t="s">
        <v>83</v>
      </c>
      <c r="B38" s="14">
        <v>41640</v>
      </c>
      <c r="C38" s="14">
        <v>42004</v>
      </c>
      <c r="D38">
        <v>183.6</v>
      </c>
      <c r="E38" t="s">
        <v>85</v>
      </c>
      <c r="F38">
        <v>30.599999999999998</v>
      </c>
      <c r="G38" t="s">
        <v>85</v>
      </c>
    </row>
    <row r="39" spans="1:7" x14ac:dyDescent="0.3">
      <c r="A39" t="s">
        <v>83</v>
      </c>
      <c r="B39" s="14">
        <v>42005</v>
      </c>
      <c r="C39" s="14">
        <v>42369</v>
      </c>
      <c r="D39">
        <v>192.78</v>
      </c>
      <c r="E39" t="s">
        <v>85</v>
      </c>
      <c r="F39">
        <v>32.130000000000003</v>
      </c>
      <c r="G39" t="s">
        <v>85</v>
      </c>
    </row>
    <row r="40" spans="1:7" x14ac:dyDescent="0.3">
      <c r="A40" t="s">
        <v>83</v>
      </c>
      <c r="B40" s="14">
        <v>42370</v>
      </c>
      <c r="C40" s="14">
        <v>42735</v>
      </c>
      <c r="D40">
        <v>212.04</v>
      </c>
      <c r="E40" t="s">
        <v>85</v>
      </c>
      <c r="F40">
        <v>35.339999999999996</v>
      </c>
      <c r="G40" t="s">
        <v>85</v>
      </c>
    </row>
    <row r="41" spans="1:7" x14ac:dyDescent="0.3">
      <c r="A41" t="s">
        <v>83</v>
      </c>
      <c r="B41" s="14">
        <v>42736</v>
      </c>
      <c r="C41" s="14">
        <v>43100</v>
      </c>
      <c r="D41">
        <v>233.28</v>
      </c>
      <c r="E41" t="s">
        <v>85</v>
      </c>
      <c r="F41">
        <v>38.880000000000003</v>
      </c>
      <c r="G41">
        <v>19.440000000000001</v>
      </c>
    </row>
    <row r="42" spans="1:7" x14ac:dyDescent="0.3">
      <c r="A42" t="s">
        <v>83</v>
      </c>
      <c r="B42" s="14">
        <v>43101</v>
      </c>
      <c r="C42" s="14">
        <v>43465</v>
      </c>
      <c r="D42">
        <v>244.94</v>
      </c>
      <c r="E42" t="s">
        <v>85</v>
      </c>
      <c r="F42" t="s">
        <v>85</v>
      </c>
      <c r="G42">
        <v>20.411666666666665</v>
      </c>
    </row>
    <row r="43" spans="1:7" x14ac:dyDescent="0.3">
      <c r="A43" t="s">
        <v>83</v>
      </c>
      <c r="B43" s="14">
        <v>43466</v>
      </c>
      <c r="C43" s="14">
        <v>43830</v>
      </c>
      <c r="D43">
        <v>244.94</v>
      </c>
      <c r="E43" t="s">
        <v>85</v>
      </c>
      <c r="F43" t="s">
        <v>85</v>
      </c>
      <c r="G43">
        <v>20.411666666666665</v>
      </c>
    </row>
    <row r="44" spans="1:7" x14ac:dyDescent="0.3">
      <c r="A44" t="s">
        <v>84</v>
      </c>
      <c r="B44" s="14">
        <v>26665</v>
      </c>
      <c r="C44" s="14">
        <v>27332</v>
      </c>
      <c r="D44">
        <v>13</v>
      </c>
      <c r="E44">
        <v>3.25</v>
      </c>
      <c r="F44" t="s">
        <v>85</v>
      </c>
      <c r="G44" t="s">
        <v>85</v>
      </c>
    </row>
    <row r="45" spans="1:7" x14ac:dyDescent="0.3">
      <c r="A45" t="s">
        <v>84</v>
      </c>
      <c r="B45" s="14">
        <v>27334</v>
      </c>
      <c r="C45" s="14">
        <v>27575</v>
      </c>
      <c r="D45">
        <v>15.6</v>
      </c>
      <c r="E45">
        <v>3.9</v>
      </c>
      <c r="F45" t="s">
        <v>85</v>
      </c>
      <c r="G45" t="s">
        <v>85</v>
      </c>
    </row>
    <row r="46" spans="1:7" x14ac:dyDescent="0.3">
      <c r="A46" t="s">
        <v>84</v>
      </c>
      <c r="B46" s="14">
        <v>27576</v>
      </c>
      <c r="C46" s="14">
        <v>28125</v>
      </c>
      <c r="D46">
        <v>18</v>
      </c>
      <c r="E46">
        <v>4.5</v>
      </c>
      <c r="F46" t="s">
        <v>85</v>
      </c>
      <c r="G46" t="s">
        <v>85</v>
      </c>
    </row>
    <row r="47" spans="1:7" x14ac:dyDescent="0.3">
      <c r="A47" t="s">
        <v>84</v>
      </c>
      <c r="B47" s="14">
        <v>28126</v>
      </c>
      <c r="C47" s="14">
        <v>28490</v>
      </c>
      <c r="D47">
        <v>20</v>
      </c>
      <c r="E47">
        <v>5</v>
      </c>
      <c r="F47" t="s">
        <v>85</v>
      </c>
      <c r="G47" t="s">
        <v>85</v>
      </c>
    </row>
    <row r="48" spans="1:7" x14ac:dyDescent="0.3">
      <c r="A48" t="s">
        <v>84</v>
      </c>
      <c r="B48" s="14">
        <v>28491</v>
      </c>
      <c r="C48" s="14">
        <v>28855</v>
      </c>
      <c r="D48">
        <v>23.5</v>
      </c>
      <c r="E48">
        <v>5.875</v>
      </c>
      <c r="F48" t="s">
        <v>85</v>
      </c>
      <c r="G48" t="s">
        <v>85</v>
      </c>
    </row>
    <row r="49" spans="1:7" x14ac:dyDescent="0.3">
      <c r="A49" t="s">
        <v>84</v>
      </c>
      <c r="B49" s="14">
        <v>28856</v>
      </c>
      <c r="C49" s="14">
        <v>29220</v>
      </c>
      <c r="D49">
        <v>26</v>
      </c>
      <c r="E49">
        <v>6.5</v>
      </c>
      <c r="F49" t="s">
        <v>85</v>
      </c>
      <c r="G49" t="s">
        <v>85</v>
      </c>
    </row>
    <row r="50" spans="1:7" x14ac:dyDescent="0.3">
      <c r="A50" t="s">
        <v>84</v>
      </c>
      <c r="B50" s="14">
        <v>29221</v>
      </c>
      <c r="C50" s="14">
        <v>29767</v>
      </c>
      <c r="D50">
        <v>29</v>
      </c>
      <c r="E50">
        <v>7.25</v>
      </c>
      <c r="F50" t="s">
        <v>85</v>
      </c>
      <c r="G50" t="s">
        <v>85</v>
      </c>
    </row>
    <row r="51" spans="1:7" x14ac:dyDescent="0.3">
      <c r="A51" t="s">
        <v>84</v>
      </c>
      <c r="B51" s="14">
        <v>29768</v>
      </c>
      <c r="C51" s="14">
        <v>30132</v>
      </c>
      <c r="D51">
        <v>33</v>
      </c>
      <c r="E51">
        <v>8.25</v>
      </c>
      <c r="F51" t="s">
        <v>85</v>
      </c>
      <c r="G51" t="s">
        <v>85</v>
      </c>
    </row>
    <row r="52" spans="1:7" x14ac:dyDescent="0.3">
      <c r="A52" t="s">
        <v>84</v>
      </c>
      <c r="B52" s="14">
        <v>30133</v>
      </c>
      <c r="C52" s="14">
        <v>29676</v>
      </c>
      <c r="D52">
        <v>35.9</v>
      </c>
      <c r="E52">
        <v>8.9749999999999996</v>
      </c>
      <c r="F52" t="s">
        <v>85</v>
      </c>
      <c r="G52" t="s">
        <v>85</v>
      </c>
    </row>
    <row r="53" spans="1:7" x14ac:dyDescent="0.3">
      <c r="A53" t="s">
        <v>84</v>
      </c>
      <c r="B53" s="14">
        <v>30407</v>
      </c>
      <c r="C53" s="14">
        <v>30863</v>
      </c>
      <c r="D53">
        <v>37.159999999999997</v>
      </c>
      <c r="E53">
        <v>9.2899999999999991</v>
      </c>
      <c r="F53" t="s">
        <v>85</v>
      </c>
      <c r="G53" t="s">
        <v>85</v>
      </c>
    </row>
    <row r="54" spans="1:7" x14ac:dyDescent="0.3">
      <c r="A54" t="s">
        <v>84</v>
      </c>
      <c r="B54" s="14">
        <v>30864</v>
      </c>
      <c r="C54" s="14">
        <v>31228</v>
      </c>
      <c r="D54">
        <v>44.72</v>
      </c>
      <c r="E54">
        <v>11.18</v>
      </c>
      <c r="F54" t="s">
        <v>85</v>
      </c>
      <c r="G54" t="s">
        <v>85</v>
      </c>
    </row>
    <row r="55" spans="1:7" x14ac:dyDescent="0.3">
      <c r="A55" t="s">
        <v>84</v>
      </c>
      <c r="B55" s="14">
        <v>31229</v>
      </c>
      <c r="C55" s="14">
        <v>31593</v>
      </c>
      <c r="D55">
        <v>49.8</v>
      </c>
      <c r="E55">
        <v>12.45</v>
      </c>
      <c r="F55" t="s">
        <v>85</v>
      </c>
      <c r="G55" t="s">
        <v>85</v>
      </c>
    </row>
    <row r="56" spans="1:7" x14ac:dyDescent="0.3">
      <c r="A56" t="s">
        <v>84</v>
      </c>
      <c r="B56" s="14">
        <v>31594</v>
      </c>
      <c r="C56" s="14">
        <v>32416</v>
      </c>
      <c r="D56">
        <v>52.3</v>
      </c>
      <c r="E56">
        <v>13.074999999999999</v>
      </c>
      <c r="F56" t="s">
        <v>85</v>
      </c>
      <c r="G56" t="s">
        <v>85</v>
      </c>
    </row>
    <row r="57" spans="1:7" x14ac:dyDescent="0.3">
      <c r="A57" t="s">
        <v>84</v>
      </c>
      <c r="B57" s="14">
        <v>32417</v>
      </c>
      <c r="C57" s="14">
        <v>34515</v>
      </c>
      <c r="D57">
        <v>53.9</v>
      </c>
      <c r="E57">
        <v>13.475</v>
      </c>
      <c r="F57" t="s">
        <v>85</v>
      </c>
      <c r="G57" t="s">
        <v>85</v>
      </c>
    </row>
    <row r="58" spans="1:7" x14ac:dyDescent="0.3">
      <c r="A58" t="s">
        <v>84</v>
      </c>
      <c r="B58" s="14">
        <v>34516</v>
      </c>
      <c r="C58" s="14">
        <v>36341</v>
      </c>
      <c r="D58">
        <v>56</v>
      </c>
      <c r="E58">
        <v>14</v>
      </c>
      <c r="F58" t="s">
        <v>85</v>
      </c>
      <c r="G58" t="s">
        <v>85</v>
      </c>
    </row>
    <row r="59" spans="1:7" x14ac:dyDescent="0.3">
      <c r="A59" t="s">
        <v>84</v>
      </c>
      <c r="B59" s="14">
        <v>36342</v>
      </c>
      <c r="C59" s="14">
        <v>37164</v>
      </c>
      <c r="D59">
        <v>58.8</v>
      </c>
      <c r="E59">
        <v>14.7</v>
      </c>
      <c r="F59" t="s">
        <v>85</v>
      </c>
      <c r="G59" t="s">
        <v>85</v>
      </c>
    </row>
    <row r="60" spans="1:7" x14ac:dyDescent="0.3">
      <c r="A60" t="s">
        <v>84</v>
      </c>
      <c r="B60" s="14">
        <v>37165</v>
      </c>
      <c r="C60" s="14">
        <v>37621</v>
      </c>
      <c r="D60">
        <v>61.74</v>
      </c>
      <c r="E60">
        <v>15.435</v>
      </c>
      <c r="F60" t="s">
        <v>85</v>
      </c>
      <c r="G60" t="s">
        <v>85</v>
      </c>
    </row>
    <row r="61" spans="1:7" x14ac:dyDescent="0.3">
      <c r="A61" t="s">
        <v>84</v>
      </c>
      <c r="B61" s="14">
        <v>37622</v>
      </c>
      <c r="C61" s="14">
        <v>37986</v>
      </c>
      <c r="D61">
        <v>64.826999999999998</v>
      </c>
      <c r="E61">
        <v>16.20675</v>
      </c>
      <c r="F61" t="s">
        <v>85</v>
      </c>
      <c r="G61" t="s">
        <v>85</v>
      </c>
    </row>
    <row r="62" spans="1:7" x14ac:dyDescent="0.3">
      <c r="A62" t="s">
        <v>84</v>
      </c>
      <c r="B62" s="14">
        <v>37987</v>
      </c>
      <c r="C62" s="14">
        <v>38352</v>
      </c>
      <c r="D62">
        <v>68.33</v>
      </c>
      <c r="E62">
        <v>17.0825</v>
      </c>
      <c r="F62" t="s">
        <v>85</v>
      </c>
      <c r="G62" t="s">
        <v>85</v>
      </c>
    </row>
    <row r="63" spans="1:7" x14ac:dyDescent="0.3">
      <c r="A63" t="s">
        <v>84</v>
      </c>
      <c r="B63" s="14">
        <v>38353</v>
      </c>
      <c r="C63" s="14">
        <v>38717</v>
      </c>
      <c r="D63">
        <v>75.709999999999994</v>
      </c>
      <c r="E63">
        <v>18.927499999999998</v>
      </c>
      <c r="F63" t="s">
        <v>85</v>
      </c>
      <c r="G63" t="s">
        <v>85</v>
      </c>
    </row>
    <row r="64" spans="1:7" x14ac:dyDescent="0.3">
      <c r="A64" t="s">
        <v>84</v>
      </c>
      <c r="B64" s="14">
        <v>38718</v>
      </c>
      <c r="C64" s="14">
        <v>39082</v>
      </c>
      <c r="D64">
        <v>79.959999999999994</v>
      </c>
      <c r="E64">
        <v>19.989999999999998</v>
      </c>
      <c r="F64" t="s">
        <v>85</v>
      </c>
      <c r="G64" t="s">
        <v>85</v>
      </c>
    </row>
    <row r="65" spans="1:7" x14ac:dyDescent="0.3">
      <c r="A65" t="s">
        <v>84</v>
      </c>
      <c r="B65" s="14">
        <v>39083</v>
      </c>
      <c r="C65" s="14">
        <v>39263</v>
      </c>
      <c r="D65">
        <v>84.12</v>
      </c>
      <c r="E65">
        <v>21.03</v>
      </c>
      <c r="F65" t="s">
        <v>85</v>
      </c>
      <c r="G65" t="s">
        <v>85</v>
      </c>
    </row>
    <row r="66" spans="1:7" x14ac:dyDescent="0.3">
      <c r="A66" t="s">
        <v>84</v>
      </c>
      <c r="B66" s="14">
        <v>39264</v>
      </c>
      <c r="C66" s="14">
        <v>39447</v>
      </c>
      <c r="D66">
        <v>84.12</v>
      </c>
      <c r="E66" t="s">
        <v>85</v>
      </c>
      <c r="F66">
        <v>14.020000000000001</v>
      </c>
      <c r="G66" t="s">
        <v>85</v>
      </c>
    </row>
    <row r="67" spans="1:7" x14ac:dyDescent="0.3">
      <c r="A67" t="s">
        <v>84</v>
      </c>
      <c r="B67" s="14">
        <v>39448</v>
      </c>
      <c r="C67" s="14">
        <v>39813</v>
      </c>
      <c r="D67">
        <v>95.7</v>
      </c>
      <c r="E67" t="s">
        <v>85</v>
      </c>
      <c r="F67">
        <v>15.950000000000001</v>
      </c>
      <c r="G67" t="s">
        <v>85</v>
      </c>
    </row>
    <row r="68" spans="1:7" x14ac:dyDescent="0.3">
      <c r="A68" t="s">
        <v>84</v>
      </c>
      <c r="B68" s="14">
        <v>39814</v>
      </c>
      <c r="C68" s="14">
        <v>40178</v>
      </c>
      <c r="D68">
        <v>95.7</v>
      </c>
      <c r="E68" t="s">
        <v>85</v>
      </c>
      <c r="F68">
        <v>15.950000000000001</v>
      </c>
      <c r="G68" t="s">
        <v>85</v>
      </c>
    </row>
    <row r="69" spans="1:7" x14ac:dyDescent="0.3">
      <c r="A69" t="s">
        <v>84</v>
      </c>
      <c r="B69" s="14">
        <v>40179</v>
      </c>
      <c r="C69" s="14">
        <v>40543</v>
      </c>
      <c r="D69">
        <v>105.27</v>
      </c>
      <c r="E69" t="s">
        <v>85</v>
      </c>
      <c r="F69">
        <v>17.544999999999998</v>
      </c>
      <c r="G69" t="s">
        <v>85</v>
      </c>
    </row>
    <row r="70" spans="1:7" x14ac:dyDescent="0.3">
      <c r="A70" t="s">
        <v>84</v>
      </c>
      <c r="B70" s="14">
        <v>40544</v>
      </c>
      <c r="C70" s="14">
        <v>40908</v>
      </c>
      <c r="D70">
        <v>105.27</v>
      </c>
      <c r="E70" t="s">
        <v>85</v>
      </c>
      <c r="F70">
        <v>17.544999999999998</v>
      </c>
      <c r="G70" t="s">
        <v>85</v>
      </c>
    </row>
    <row r="71" spans="1:7" x14ac:dyDescent="0.3">
      <c r="A71" t="s">
        <v>84</v>
      </c>
      <c r="B71" s="14">
        <v>40909</v>
      </c>
      <c r="C71" s="14">
        <v>41274</v>
      </c>
      <c r="D71">
        <v>115.8</v>
      </c>
      <c r="E71" t="s">
        <v>85</v>
      </c>
      <c r="F71">
        <v>19.3</v>
      </c>
      <c r="G71" t="s">
        <v>85</v>
      </c>
    </row>
    <row r="72" spans="1:7" x14ac:dyDescent="0.3">
      <c r="A72" t="s">
        <v>84</v>
      </c>
      <c r="B72" s="14">
        <v>41275</v>
      </c>
      <c r="C72" s="14">
        <v>41639</v>
      </c>
      <c r="D72">
        <v>115.8</v>
      </c>
      <c r="E72" t="s">
        <v>85</v>
      </c>
      <c r="F72">
        <v>19.3</v>
      </c>
      <c r="G72" t="s">
        <v>85</v>
      </c>
    </row>
    <row r="73" spans="1:7" x14ac:dyDescent="0.3">
      <c r="A73" t="s">
        <v>84</v>
      </c>
      <c r="B73" s="14">
        <v>41640</v>
      </c>
      <c r="C73" s="14">
        <v>42004</v>
      </c>
      <c r="D73">
        <v>121.56</v>
      </c>
      <c r="E73" t="s">
        <v>85</v>
      </c>
      <c r="F73">
        <v>20.260000000000002</v>
      </c>
      <c r="G73" t="s">
        <v>85</v>
      </c>
    </row>
    <row r="74" spans="1:7" x14ac:dyDescent="0.3">
      <c r="A74" t="s">
        <v>84</v>
      </c>
      <c r="B74" s="14">
        <v>42005</v>
      </c>
      <c r="C74" s="14">
        <v>42369</v>
      </c>
      <c r="D74">
        <v>127.62</v>
      </c>
      <c r="E74" t="s">
        <v>85</v>
      </c>
      <c r="F74">
        <v>21.27</v>
      </c>
      <c r="G74" t="s">
        <v>85</v>
      </c>
    </row>
    <row r="75" spans="1:7" x14ac:dyDescent="0.3">
      <c r="A75" t="s">
        <v>84</v>
      </c>
      <c r="B75" s="14">
        <v>42370</v>
      </c>
      <c r="C75" s="14">
        <v>42735</v>
      </c>
      <c r="D75">
        <v>140.4</v>
      </c>
      <c r="E75" t="s">
        <v>85</v>
      </c>
      <c r="F75">
        <v>23.400000000000002</v>
      </c>
      <c r="G75" t="s">
        <v>85</v>
      </c>
    </row>
    <row r="76" spans="1:7" x14ac:dyDescent="0.3">
      <c r="A76" t="s">
        <v>84</v>
      </c>
      <c r="B76" s="14">
        <v>42736</v>
      </c>
      <c r="C76" s="14">
        <v>43100</v>
      </c>
      <c r="D76">
        <v>154.44</v>
      </c>
      <c r="E76" t="s">
        <v>85</v>
      </c>
      <c r="F76">
        <v>25.74</v>
      </c>
      <c r="G76">
        <v>12.87</v>
      </c>
    </row>
    <row r="77" spans="1:7" x14ac:dyDescent="0.3">
      <c r="A77" t="s">
        <v>84</v>
      </c>
      <c r="B77" s="14">
        <v>43101</v>
      </c>
      <c r="C77" s="14">
        <v>43465</v>
      </c>
      <c r="D77">
        <v>162.16</v>
      </c>
      <c r="E77" t="s">
        <v>85</v>
      </c>
      <c r="F77" t="s">
        <v>85</v>
      </c>
      <c r="G77">
        <v>13.513333333333334</v>
      </c>
    </row>
    <row r="78" spans="1:7" x14ac:dyDescent="0.3">
      <c r="A78" t="s">
        <v>84</v>
      </c>
      <c r="B78" s="14">
        <v>43466</v>
      </c>
      <c r="C78" s="14">
        <v>43830</v>
      </c>
      <c r="D78">
        <v>162.16</v>
      </c>
      <c r="E78" t="s">
        <v>85</v>
      </c>
      <c r="F78" t="s">
        <v>85</v>
      </c>
      <c r="G78">
        <v>13.513333333333334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2F89-7A36-4FA6-953A-B765B13FD840}">
  <dimension ref="A1:H110"/>
  <sheetViews>
    <sheetView tabSelected="1" workbookViewId="0"/>
  </sheetViews>
  <sheetFormatPr baseColWidth="10" defaultRowHeight="15.6" x14ac:dyDescent="0.3"/>
  <cols>
    <col min="1" max="1" width="13.09765625" bestFit="1" customWidth="1"/>
    <col min="2" max="2" width="11.3984375" style="14" bestFit="1" customWidth="1"/>
    <col min="3" max="3" width="10.09765625" style="14" bestFit="1" customWidth="1"/>
    <col min="4" max="4" width="21.5" bestFit="1" customWidth="1"/>
    <col min="5" max="5" width="24" bestFit="1" customWidth="1"/>
    <col min="6" max="6" width="24.59765625" bestFit="1" customWidth="1"/>
    <col min="7" max="7" width="25.5" bestFit="1" customWidth="1"/>
    <col min="8" max="8" width="23.8984375" bestFit="1" customWidth="1"/>
  </cols>
  <sheetData>
    <row r="1" spans="1:8" x14ac:dyDescent="0.3">
      <c r="A1" t="s">
        <v>1</v>
      </c>
      <c r="B1" s="14" t="s">
        <v>86</v>
      </c>
      <c r="C1" s="14" t="s">
        <v>87</v>
      </c>
      <c r="D1" t="s">
        <v>2</v>
      </c>
      <c r="E1" t="s">
        <v>88</v>
      </c>
      <c r="F1" t="s">
        <v>4</v>
      </c>
      <c r="G1" t="s">
        <v>6</v>
      </c>
      <c r="H1" t="s">
        <v>5</v>
      </c>
    </row>
    <row r="2" spans="1:8" x14ac:dyDescent="0.3">
      <c r="A2" t="s">
        <v>83</v>
      </c>
      <c r="B2" s="14">
        <v>21186</v>
      </c>
      <c r="C2" s="14">
        <v>21550</v>
      </c>
      <c r="D2">
        <v>113</v>
      </c>
      <c r="E2">
        <v>9</v>
      </c>
      <c r="F2">
        <v>796</v>
      </c>
      <c r="G2">
        <v>300000</v>
      </c>
      <c r="H2">
        <v>239</v>
      </c>
    </row>
    <row r="3" spans="1:8" x14ac:dyDescent="0.3">
      <c r="A3" t="s">
        <v>83</v>
      </c>
      <c r="B3" s="14">
        <v>21551</v>
      </c>
      <c r="C3" s="14">
        <v>21915</v>
      </c>
      <c r="D3">
        <v>113</v>
      </c>
      <c r="E3">
        <v>9</v>
      </c>
      <c r="F3">
        <v>796</v>
      </c>
      <c r="G3">
        <v>300000</v>
      </c>
      <c r="H3">
        <v>239</v>
      </c>
    </row>
    <row r="4" spans="1:8" x14ac:dyDescent="0.3">
      <c r="A4" t="s">
        <v>83</v>
      </c>
      <c r="B4" s="14">
        <v>21916</v>
      </c>
      <c r="C4" s="14">
        <v>22281</v>
      </c>
      <c r="D4">
        <v>130</v>
      </c>
      <c r="E4">
        <v>9</v>
      </c>
      <c r="F4">
        <v>692</v>
      </c>
      <c r="G4">
        <v>300000</v>
      </c>
      <c r="H4">
        <v>208</v>
      </c>
    </row>
    <row r="5" spans="1:8" x14ac:dyDescent="0.3">
      <c r="A5" t="s">
        <v>83</v>
      </c>
      <c r="B5" s="14">
        <v>22282</v>
      </c>
      <c r="C5" s="14">
        <v>22646</v>
      </c>
      <c r="D5">
        <v>135</v>
      </c>
      <c r="E5">
        <v>9</v>
      </c>
      <c r="F5">
        <v>667</v>
      </c>
      <c r="G5">
        <v>360000</v>
      </c>
      <c r="H5">
        <v>240</v>
      </c>
    </row>
    <row r="6" spans="1:8" x14ac:dyDescent="0.3">
      <c r="A6" t="s">
        <v>83</v>
      </c>
      <c r="B6" s="14">
        <v>22647</v>
      </c>
      <c r="C6" s="14">
        <v>23011</v>
      </c>
      <c r="D6">
        <v>142</v>
      </c>
      <c r="E6">
        <v>9</v>
      </c>
      <c r="F6">
        <v>634</v>
      </c>
      <c r="G6">
        <v>600000</v>
      </c>
      <c r="H6">
        <v>380</v>
      </c>
    </row>
    <row r="7" spans="1:8" x14ac:dyDescent="0.3">
      <c r="A7" t="s">
        <v>83</v>
      </c>
      <c r="B7" s="14">
        <v>23012</v>
      </c>
      <c r="C7" s="14">
        <v>23376</v>
      </c>
      <c r="D7">
        <v>153</v>
      </c>
      <c r="E7">
        <v>9</v>
      </c>
      <c r="F7">
        <v>588</v>
      </c>
      <c r="G7">
        <v>600000</v>
      </c>
      <c r="H7">
        <v>353</v>
      </c>
    </row>
    <row r="8" spans="1:8" x14ac:dyDescent="0.3">
      <c r="A8" t="s">
        <v>83</v>
      </c>
      <c r="B8" s="14">
        <v>23377</v>
      </c>
      <c r="C8" s="14">
        <v>23742</v>
      </c>
      <c r="D8">
        <v>153</v>
      </c>
      <c r="E8">
        <v>9</v>
      </c>
      <c r="F8">
        <v>588</v>
      </c>
      <c r="G8">
        <v>600000</v>
      </c>
      <c r="H8">
        <v>353</v>
      </c>
    </row>
    <row r="9" spans="1:8" x14ac:dyDescent="0.3">
      <c r="A9" t="s">
        <v>83</v>
      </c>
      <c r="B9" s="14">
        <v>23743</v>
      </c>
      <c r="C9" s="14">
        <v>24107</v>
      </c>
      <c r="D9">
        <v>159</v>
      </c>
      <c r="E9">
        <v>9</v>
      </c>
      <c r="F9">
        <v>566</v>
      </c>
      <c r="G9">
        <v>720000</v>
      </c>
      <c r="H9">
        <v>408</v>
      </c>
    </row>
    <row r="10" spans="1:8" x14ac:dyDescent="0.3">
      <c r="A10" t="s">
        <v>83</v>
      </c>
      <c r="B10" s="14">
        <v>24108</v>
      </c>
      <c r="C10" s="14">
        <v>24472</v>
      </c>
      <c r="D10">
        <v>159</v>
      </c>
      <c r="E10">
        <v>9</v>
      </c>
      <c r="F10">
        <v>566</v>
      </c>
      <c r="G10">
        <v>720000</v>
      </c>
      <c r="H10">
        <v>408</v>
      </c>
    </row>
    <row r="11" spans="1:8" x14ac:dyDescent="0.3">
      <c r="A11" t="s">
        <v>83</v>
      </c>
      <c r="B11" s="14">
        <v>24473</v>
      </c>
      <c r="C11" s="14">
        <v>24837</v>
      </c>
      <c r="D11">
        <v>159</v>
      </c>
      <c r="E11">
        <v>9</v>
      </c>
      <c r="F11">
        <v>566</v>
      </c>
      <c r="G11">
        <v>720000</v>
      </c>
      <c r="H11">
        <v>408</v>
      </c>
    </row>
    <row r="12" spans="1:8" x14ac:dyDescent="0.3">
      <c r="A12" t="s">
        <v>83</v>
      </c>
      <c r="B12" s="14">
        <v>24838</v>
      </c>
      <c r="C12" s="14">
        <v>25203</v>
      </c>
      <c r="D12">
        <v>159</v>
      </c>
      <c r="E12">
        <v>9</v>
      </c>
      <c r="F12">
        <v>566</v>
      </c>
      <c r="G12">
        <v>720000</v>
      </c>
      <c r="H12">
        <v>408</v>
      </c>
    </row>
    <row r="13" spans="1:8" x14ac:dyDescent="0.3">
      <c r="A13" t="s">
        <v>83</v>
      </c>
      <c r="B13" s="14">
        <v>25204</v>
      </c>
      <c r="C13" s="14">
        <v>25568</v>
      </c>
      <c r="D13">
        <v>159</v>
      </c>
      <c r="E13">
        <v>9</v>
      </c>
      <c r="F13">
        <v>566</v>
      </c>
      <c r="G13">
        <v>720000</v>
      </c>
      <c r="H13">
        <v>408</v>
      </c>
    </row>
    <row r="14" spans="1:8" x14ac:dyDescent="0.3">
      <c r="A14" t="s">
        <v>83</v>
      </c>
      <c r="B14" s="14">
        <v>25569</v>
      </c>
      <c r="C14" s="14">
        <v>25933</v>
      </c>
      <c r="D14">
        <v>159</v>
      </c>
      <c r="E14">
        <v>9</v>
      </c>
      <c r="F14">
        <v>566</v>
      </c>
      <c r="G14">
        <v>720000</v>
      </c>
      <c r="H14">
        <v>408</v>
      </c>
    </row>
    <row r="15" spans="1:8" x14ac:dyDescent="0.3">
      <c r="A15" t="s">
        <v>83</v>
      </c>
      <c r="B15" s="14">
        <v>25934</v>
      </c>
      <c r="C15" s="14">
        <v>26298</v>
      </c>
      <c r="D15">
        <v>193</v>
      </c>
      <c r="E15">
        <v>9</v>
      </c>
      <c r="F15">
        <v>466</v>
      </c>
      <c r="G15">
        <v>720000</v>
      </c>
      <c r="H15">
        <v>336</v>
      </c>
    </row>
    <row r="16" spans="1:8" x14ac:dyDescent="0.3">
      <c r="A16" t="s">
        <v>83</v>
      </c>
      <c r="B16" s="14">
        <v>26299</v>
      </c>
      <c r="C16" s="14">
        <v>26664</v>
      </c>
      <c r="D16">
        <v>193</v>
      </c>
      <c r="E16">
        <v>8.75</v>
      </c>
      <c r="F16">
        <v>453</v>
      </c>
      <c r="G16">
        <v>720000</v>
      </c>
      <c r="H16">
        <v>326</v>
      </c>
    </row>
    <row r="17" spans="1:8" x14ac:dyDescent="0.3">
      <c r="A17" t="s">
        <v>83</v>
      </c>
      <c r="B17" s="14">
        <v>26665</v>
      </c>
      <c r="C17" s="14">
        <v>27029</v>
      </c>
      <c r="D17">
        <v>193</v>
      </c>
      <c r="E17">
        <v>8</v>
      </c>
      <c r="F17">
        <v>415</v>
      </c>
      <c r="G17">
        <v>720000</v>
      </c>
      <c r="H17">
        <v>298</v>
      </c>
    </row>
    <row r="18" spans="1:8" x14ac:dyDescent="0.3">
      <c r="A18" t="s">
        <v>83</v>
      </c>
      <c r="B18" s="14">
        <v>27030</v>
      </c>
      <c r="C18" s="14">
        <v>27394</v>
      </c>
      <c r="D18">
        <v>209</v>
      </c>
      <c r="E18">
        <v>8</v>
      </c>
      <c r="F18">
        <v>383</v>
      </c>
      <c r="G18">
        <v>720000</v>
      </c>
      <c r="H18">
        <v>276</v>
      </c>
    </row>
    <row r="19" spans="1:8" x14ac:dyDescent="0.3">
      <c r="A19" t="s">
        <v>83</v>
      </c>
      <c r="B19" s="14">
        <v>27395</v>
      </c>
      <c r="C19" s="14">
        <v>27759</v>
      </c>
      <c r="D19">
        <v>250</v>
      </c>
      <c r="E19">
        <v>8</v>
      </c>
      <c r="F19">
        <v>320</v>
      </c>
      <c r="G19">
        <v>720000</v>
      </c>
      <c r="H19">
        <v>230</v>
      </c>
    </row>
    <row r="20" spans="1:8" x14ac:dyDescent="0.3">
      <c r="A20" t="s">
        <v>83</v>
      </c>
      <c r="B20" s="14">
        <v>27760</v>
      </c>
      <c r="C20" s="14">
        <v>28125</v>
      </c>
      <c r="D20">
        <v>290</v>
      </c>
      <c r="E20">
        <v>8</v>
      </c>
      <c r="F20">
        <v>276</v>
      </c>
      <c r="G20">
        <v>720000</v>
      </c>
      <c r="H20">
        <v>199</v>
      </c>
    </row>
    <row r="21" spans="1:8" x14ac:dyDescent="0.3">
      <c r="A21" t="s">
        <v>83</v>
      </c>
      <c r="B21" s="14">
        <v>28126</v>
      </c>
      <c r="C21" s="14">
        <v>28490</v>
      </c>
      <c r="D21">
        <v>339</v>
      </c>
      <c r="E21">
        <v>8</v>
      </c>
      <c r="F21">
        <v>236</v>
      </c>
      <c r="G21">
        <v>720000</v>
      </c>
      <c r="H21">
        <v>170</v>
      </c>
    </row>
    <row r="22" spans="1:8" x14ac:dyDescent="0.3">
      <c r="A22" t="s">
        <v>83</v>
      </c>
      <c r="B22" s="14">
        <v>28491</v>
      </c>
      <c r="C22" s="14">
        <v>28855</v>
      </c>
      <c r="D22">
        <v>357</v>
      </c>
      <c r="E22">
        <v>8</v>
      </c>
      <c r="F22">
        <v>224</v>
      </c>
      <c r="G22">
        <v>840000</v>
      </c>
      <c r="H22">
        <v>188</v>
      </c>
    </row>
    <row r="23" spans="1:8" x14ac:dyDescent="0.3">
      <c r="A23" t="s">
        <v>83</v>
      </c>
      <c r="B23" s="14">
        <v>28856</v>
      </c>
      <c r="C23" s="14">
        <v>29220</v>
      </c>
      <c r="D23">
        <v>391</v>
      </c>
      <c r="E23">
        <v>8</v>
      </c>
      <c r="F23">
        <v>204</v>
      </c>
      <c r="G23">
        <v>960000</v>
      </c>
      <c r="H23">
        <v>196</v>
      </c>
    </row>
    <row r="24" spans="1:8" x14ac:dyDescent="0.3">
      <c r="A24" t="s">
        <v>83</v>
      </c>
      <c r="B24" s="14">
        <v>29221</v>
      </c>
      <c r="C24" s="14">
        <v>29586</v>
      </c>
      <c r="D24">
        <v>430</v>
      </c>
      <c r="E24">
        <v>8</v>
      </c>
      <c r="F24">
        <v>186</v>
      </c>
      <c r="G24">
        <v>960000</v>
      </c>
      <c r="H24">
        <v>179</v>
      </c>
    </row>
    <row r="25" spans="1:8" x14ac:dyDescent="0.3">
      <c r="A25" t="s">
        <v>83</v>
      </c>
      <c r="B25" s="14">
        <v>29587</v>
      </c>
      <c r="C25" s="14">
        <v>29951</v>
      </c>
      <c r="D25">
        <v>465</v>
      </c>
      <c r="E25">
        <v>8</v>
      </c>
      <c r="F25">
        <v>172</v>
      </c>
      <c r="G25">
        <v>1122000</v>
      </c>
      <c r="H25">
        <v>193</v>
      </c>
    </row>
    <row r="26" spans="1:8" x14ac:dyDescent="0.3">
      <c r="A26" t="s">
        <v>83</v>
      </c>
      <c r="B26" s="14">
        <v>29952</v>
      </c>
      <c r="C26" s="14">
        <v>30316</v>
      </c>
      <c r="D26">
        <v>542</v>
      </c>
      <c r="E26">
        <v>8</v>
      </c>
      <c r="F26">
        <v>147</v>
      </c>
      <c r="G26">
        <v>1350000</v>
      </c>
      <c r="H26">
        <v>199</v>
      </c>
    </row>
    <row r="27" spans="1:8" x14ac:dyDescent="0.3">
      <c r="A27" t="s">
        <v>83</v>
      </c>
      <c r="B27" s="14">
        <v>30317</v>
      </c>
      <c r="C27" s="14">
        <v>30681</v>
      </c>
      <c r="D27">
        <v>600</v>
      </c>
      <c r="E27">
        <v>8</v>
      </c>
      <c r="F27">
        <v>133</v>
      </c>
      <c r="G27">
        <v>1476000</v>
      </c>
      <c r="H27">
        <v>197</v>
      </c>
    </row>
    <row r="28" spans="1:8" x14ac:dyDescent="0.3">
      <c r="A28" t="s">
        <v>83</v>
      </c>
      <c r="B28" s="14">
        <v>30682</v>
      </c>
      <c r="C28" s="14">
        <v>31047</v>
      </c>
      <c r="D28">
        <v>658</v>
      </c>
      <c r="E28">
        <v>8</v>
      </c>
      <c r="F28">
        <v>122</v>
      </c>
      <c r="G28">
        <v>1668000</v>
      </c>
      <c r="H28">
        <v>203</v>
      </c>
    </row>
    <row r="29" spans="1:8" x14ac:dyDescent="0.3">
      <c r="A29" t="s">
        <v>83</v>
      </c>
      <c r="B29" s="14">
        <v>31048</v>
      </c>
      <c r="C29" s="14">
        <v>31412</v>
      </c>
      <c r="D29">
        <v>727</v>
      </c>
      <c r="E29">
        <v>8</v>
      </c>
      <c r="F29">
        <v>110</v>
      </c>
      <c r="G29">
        <v>1890000</v>
      </c>
      <c r="H29">
        <v>208</v>
      </c>
    </row>
    <row r="30" spans="1:8" x14ac:dyDescent="0.3">
      <c r="A30" t="s">
        <v>83</v>
      </c>
      <c r="B30" s="14">
        <v>31413</v>
      </c>
      <c r="C30" s="14">
        <v>31777</v>
      </c>
      <c r="D30">
        <v>734</v>
      </c>
      <c r="E30">
        <v>8</v>
      </c>
      <c r="F30">
        <v>109</v>
      </c>
      <c r="G30">
        <v>2076000</v>
      </c>
      <c r="H30">
        <v>226</v>
      </c>
    </row>
    <row r="31" spans="1:8" x14ac:dyDescent="0.3">
      <c r="A31" t="s">
        <v>83</v>
      </c>
      <c r="B31" s="14">
        <v>31778</v>
      </c>
      <c r="C31" s="14">
        <v>32142</v>
      </c>
      <c r="D31">
        <v>769</v>
      </c>
      <c r="E31">
        <v>8</v>
      </c>
      <c r="F31">
        <v>104</v>
      </c>
      <c r="G31">
        <v>2202000</v>
      </c>
      <c r="H31">
        <v>229</v>
      </c>
    </row>
    <row r="32" spans="1:8" x14ac:dyDescent="0.3">
      <c r="A32" t="s">
        <v>83</v>
      </c>
      <c r="B32" s="14">
        <v>32143</v>
      </c>
      <c r="C32" s="14">
        <v>32508</v>
      </c>
      <c r="D32">
        <v>800</v>
      </c>
      <c r="E32">
        <v>8</v>
      </c>
      <c r="F32">
        <v>100</v>
      </c>
      <c r="G32">
        <v>2304000</v>
      </c>
      <c r="H32">
        <v>230</v>
      </c>
    </row>
    <row r="33" spans="1:8" x14ac:dyDescent="0.3">
      <c r="A33" t="s">
        <v>83</v>
      </c>
      <c r="B33" s="14">
        <v>32509</v>
      </c>
      <c r="C33" s="14">
        <v>32873</v>
      </c>
      <c r="D33">
        <v>800</v>
      </c>
      <c r="E33">
        <v>8</v>
      </c>
      <c r="F33">
        <v>100</v>
      </c>
      <c r="G33">
        <v>2376000</v>
      </c>
      <c r="H33">
        <v>238</v>
      </c>
    </row>
    <row r="34" spans="1:8" x14ac:dyDescent="0.3">
      <c r="A34" t="s">
        <v>83</v>
      </c>
      <c r="B34" s="14">
        <v>32874</v>
      </c>
      <c r="C34" s="14">
        <v>33238</v>
      </c>
      <c r="D34">
        <v>800</v>
      </c>
      <c r="E34">
        <v>8</v>
      </c>
      <c r="F34">
        <v>100</v>
      </c>
      <c r="G34">
        <v>2376000</v>
      </c>
      <c r="H34">
        <v>238</v>
      </c>
    </row>
    <row r="35" spans="1:8" x14ac:dyDescent="0.3">
      <c r="A35" t="s">
        <v>83</v>
      </c>
      <c r="B35" s="14">
        <v>33239</v>
      </c>
      <c r="C35" s="14">
        <v>33603</v>
      </c>
      <c r="D35">
        <v>800</v>
      </c>
      <c r="E35">
        <v>8</v>
      </c>
      <c r="F35">
        <v>100</v>
      </c>
      <c r="G35">
        <v>2392000</v>
      </c>
      <c r="H35">
        <v>239</v>
      </c>
    </row>
    <row r="36" spans="1:8" x14ac:dyDescent="0.3">
      <c r="A36" t="s">
        <v>83</v>
      </c>
      <c r="B36" s="14">
        <v>33604</v>
      </c>
      <c r="C36" s="14">
        <v>33969</v>
      </c>
      <c r="D36">
        <v>800</v>
      </c>
      <c r="E36">
        <v>8</v>
      </c>
      <c r="F36">
        <v>100</v>
      </c>
      <c r="G36">
        <v>2400000</v>
      </c>
      <c r="H36">
        <v>240</v>
      </c>
    </row>
    <row r="37" spans="1:8" x14ac:dyDescent="0.3">
      <c r="A37" t="s">
        <v>83</v>
      </c>
      <c r="B37" s="14">
        <v>33970</v>
      </c>
      <c r="C37" s="14">
        <v>34334</v>
      </c>
      <c r="D37">
        <v>800</v>
      </c>
      <c r="E37">
        <v>8</v>
      </c>
      <c r="F37">
        <v>100</v>
      </c>
      <c r="G37">
        <v>2400000</v>
      </c>
      <c r="H37">
        <v>240</v>
      </c>
    </row>
    <row r="38" spans="1:8" x14ac:dyDescent="0.3">
      <c r="A38" t="s">
        <v>83</v>
      </c>
      <c r="B38" s="14">
        <v>34335</v>
      </c>
      <c r="C38" s="14">
        <v>34699</v>
      </c>
      <c r="D38">
        <v>800</v>
      </c>
      <c r="E38">
        <v>8</v>
      </c>
      <c r="F38">
        <v>100</v>
      </c>
      <c r="G38">
        <v>2400000</v>
      </c>
      <c r="H38">
        <v>240</v>
      </c>
    </row>
    <row r="39" spans="1:8" x14ac:dyDescent="0.3">
      <c r="A39" t="s">
        <v>83</v>
      </c>
      <c r="B39" s="14">
        <v>34700</v>
      </c>
      <c r="C39" s="14">
        <v>35064</v>
      </c>
      <c r="D39">
        <v>800</v>
      </c>
      <c r="E39">
        <v>8</v>
      </c>
      <c r="F39">
        <v>100</v>
      </c>
      <c r="G39">
        <v>2400000</v>
      </c>
      <c r="H39">
        <v>240</v>
      </c>
    </row>
    <row r="40" spans="1:8" x14ac:dyDescent="0.3">
      <c r="A40" t="s">
        <v>83</v>
      </c>
      <c r="B40" s="14">
        <v>35065</v>
      </c>
      <c r="C40" s="14">
        <v>35430</v>
      </c>
      <c r="D40">
        <v>800</v>
      </c>
      <c r="E40">
        <v>8</v>
      </c>
      <c r="F40">
        <v>100</v>
      </c>
      <c r="G40">
        <v>2400000</v>
      </c>
      <c r="H40">
        <v>240</v>
      </c>
    </row>
    <row r="41" spans="1:8" x14ac:dyDescent="0.3">
      <c r="A41" t="s">
        <v>83</v>
      </c>
      <c r="B41" s="14">
        <v>35431</v>
      </c>
      <c r="C41" s="14">
        <v>35795</v>
      </c>
      <c r="D41">
        <v>800</v>
      </c>
      <c r="E41">
        <v>8</v>
      </c>
      <c r="F41">
        <v>100</v>
      </c>
      <c r="G41">
        <v>2400000</v>
      </c>
      <c r="H41">
        <v>240</v>
      </c>
    </row>
    <row r="42" spans="1:8" x14ac:dyDescent="0.3">
      <c r="A42" t="s">
        <v>83</v>
      </c>
      <c r="B42" s="14">
        <v>35796</v>
      </c>
      <c r="C42" s="14">
        <v>36160</v>
      </c>
      <c r="D42">
        <v>800</v>
      </c>
      <c r="E42">
        <v>8</v>
      </c>
      <c r="F42">
        <v>100</v>
      </c>
      <c r="G42">
        <v>2400000</v>
      </c>
      <c r="H42">
        <v>240</v>
      </c>
    </row>
    <row r="43" spans="1:8" x14ac:dyDescent="0.3">
      <c r="A43" t="s">
        <v>83</v>
      </c>
      <c r="B43" s="14">
        <v>36161</v>
      </c>
      <c r="C43" s="14">
        <v>36525</v>
      </c>
      <c r="D43">
        <v>800</v>
      </c>
      <c r="E43">
        <v>8</v>
      </c>
      <c r="F43">
        <v>100</v>
      </c>
      <c r="G43">
        <v>2400000</v>
      </c>
      <c r="H43">
        <v>240</v>
      </c>
    </row>
    <row r="44" spans="1:8" x14ac:dyDescent="0.3">
      <c r="A44" t="s">
        <v>83</v>
      </c>
      <c r="B44" s="14">
        <v>36526</v>
      </c>
      <c r="C44" s="14">
        <v>36891</v>
      </c>
      <c r="D44">
        <v>800</v>
      </c>
      <c r="E44">
        <v>8</v>
      </c>
      <c r="F44">
        <v>100</v>
      </c>
      <c r="G44">
        <v>2400000</v>
      </c>
      <c r="H44">
        <v>240</v>
      </c>
    </row>
    <row r="45" spans="1:8" x14ac:dyDescent="0.3">
      <c r="A45" t="s">
        <v>83</v>
      </c>
      <c r="B45" s="14">
        <v>36892</v>
      </c>
      <c r="C45" s="14">
        <v>37256</v>
      </c>
      <c r="D45">
        <v>800</v>
      </c>
      <c r="E45">
        <v>8</v>
      </c>
      <c r="F45">
        <v>100</v>
      </c>
      <c r="G45">
        <v>2400000</v>
      </c>
      <c r="H45">
        <v>240</v>
      </c>
    </row>
    <row r="46" spans="1:8" x14ac:dyDescent="0.3">
      <c r="A46" t="s">
        <v>83</v>
      </c>
      <c r="B46" s="14">
        <v>37257</v>
      </c>
      <c r="C46" s="14">
        <v>37621</v>
      </c>
      <c r="D46">
        <v>800</v>
      </c>
      <c r="E46">
        <v>8</v>
      </c>
      <c r="F46">
        <v>100</v>
      </c>
      <c r="G46">
        <v>2400000</v>
      </c>
      <c r="H46">
        <v>240</v>
      </c>
    </row>
    <row r="47" spans="1:8" x14ac:dyDescent="0.3">
      <c r="A47" t="s">
        <v>83</v>
      </c>
      <c r="B47" s="14">
        <v>37622</v>
      </c>
      <c r="C47" s="14">
        <v>37986</v>
      </c>
      <c r="D47">
        <v>840</v>
      </c>
      <c r="E47">
        <v>8</v>
      </c>
      <c r="F47">
        <v>95</v>
      </c>
      <c r="G47">
        <v>2400000</v>
      </c>
      <c r="H47">
        <v>229</v>
      </c>
    </row>
    <row r="48" spans="1:8" x14ac:dyDescent="0.3">
      <c r="A48" t="s">
        <v>83</v>
      </c>
      <c r="B48" s="14">
        <v>37987</v>
      </c>
      <c r="C48" s="14">
        <v>38352</v>
      </c>
      <c r="D48">
        <v>885</v>
      </c>
      <c r="E48">
        <v>8</v>
      </c>
      <c r="F48">
        <v>90</v>
      </c>
      <c r="G48">
        <v>2520000</v>
      </c>
      <c r="H48">
        <v>228</v>
      </c>
    </row>
    <row r="49" spans="1:8" x14ac:dyDescent="0.3">
      <c r="A49" t="s">
        <v>83</v>
      </c>
      <c r="B49" s="14">
        <v>38353</v>
      </c>
      <c r="C49" s="14">
        <v>38717</v>
      </c>
      <c r="D49">
        <v>936</v>
      </c>
      <c r="E49">
        <v>8</v>
      </c>
      <c r="F49">
        <v>85</v>
      </c>
      <c r="G49">
        <v>2664000</v>
      </c>
      <c r="H49">
        <v>228</v>
      </c>
    </row>
    <row r="50" spans="1:8" x14ac:dyDescent="0.3">
      <c r="A50" t="s">
        <v>83</v>
      </c>
      <c r="B50" s="14">
        <v>38718</v>
      </c>
      <c r="C50" s="14">
        <v>39082</v>
      </c>
      <c r="D50">
        <v>989</v>
      </c>
      <c r="E50">
        <v>8</v>
      </c>
      <c r="F50">
        <v>81</v>
      </c>
      <c r="G50">
        <v>2808000</v>
      </c>
      <c r="H50">
        <v>227</v>
      </c>
    </row>
    <row r="51" spans="1:8" x14ac:dyDescent="0.3">
      <c r="A51" t="s">
        <v>83</v>
      </c>
      <c r="B51" s="14">
        <v>39083</v>
      </c>
      <c r="C51" s="14">
        <v>39447</v>
      </c>
      <c r="D51">
        <v>1040</v>
      </c>
      <c r="E51">
        <v>8</v>
      </c>
      <c r="F51">
        <v>77</v>
      </c>
      <c r="G51">
        <v>2952000</v>
      </c>
      <c r="H51">
        <v>227</v>
      </c>
    </row>
    <row r="52" spans="1:8" x14ac:dyDescent="0.3">
      <c r="A52" t="s">
        <v>83</v>
      </c>
      <c r="B52" s="14">
        <v>39448</v>
      </c>
      <c r="C52" s="14">
        <v>39813</v>
      </c>
      <c r="D52">
        <v>1083</v>
      </c>
      <c r="E52">
        <v>8</v>
      </c>
      <c r="F52">
        <v>74</v>
      </c>
      <c r="G52">
        <v>3072000</v>
      </c>
      <c r="H52">
        <v>227</v>
      </c>
    </row>
    <row r="53" spans="1:8" x14ac:dyDescent="0.3">
      <c r="A53" t="s">
        <v>83</v>
      </c>
      <c r="B53" s="14">
        <v>39814</v>
      </c>
      <c r="C53" s="14">
        <v>40178</v>
      </c>
      <c r="D53">
        <v>1083</v>
      </c>
      <c r="E53">
        <v>8</v>
      </c>
      <c r="F53">
        <v>74</v>
      </c>
      <c r="G53">
        <v>3072000</v>
      </c>
      <c r="H53">
        <v>227</v>
      </c>
    </row>
    <row r="54" spans="1:8" x14ac:dyDescent="0.3">
      <c r="A54" t="s">
        <v>83</v>
      </c>
      <c r="B54" s="14">
        <v>40179</v>
      </c>
      <c r="C54" s="14">
        <v>40543</v>
      </c>
      <c r="D54">
        <v>1115</v>
      </c>
      <c r="E54">
        <v>9</v>
      </c>
      <c r="F54">
        <v>81</v>
      </c>
      <c r="G54">
        <v>3072000</v>
      </c>
      <c r="H54">
        <v>248</v>
      </c>
    </row>
    <row r="55" spans="1:8" x14ac:dyDescent="0.3">
      <c r="A55" t="s">
        <v>83</v>
      </c>
      <c r="B55" s="14">
        <v>40544</v>
      </c>
      <c r="C55" s="14">
        <v>40908</v>
      </c>
      <c r="D55">
        <v>1115</v>
      </c>
      <c r="E55">
        <v>9</v>
      </c>
      <c r="F55">
        <v>81</v>
      </c>
      <c r="G55">
        <v>3072000</v>
      </c>
      <c r="H55">
        <v>248</v>
      </c>
    </row>
    <row r="56" spans="1:8" x14ac:dyDescent="0.3">
      <c r="A56" t="s">
        <v>83</v>
      </c>
      <c r="B56" s="14">
        <v>40909</v>
      </c>
      <c r="C56" s="14">
        <v>41274</v>
      </c>
      <c r="D56">
        <v>1115</v>
      </c>
      <c r="E56">
        <v>9</v>
      </c>
      <c r="F56">
        <v>81</v>
      </c>
      <c r="G56">
        <v>3072000</v>
      </c>
      <c r="H56">
        <v>248</v>
      </c>
    </row>
    <row r="57" spans="1:8" x14ac:dyDescent="0.3">
      <c r="A57" t="s">
        <v>83</v>
      </c>
      <c r="B57" s="14">
        <v>41275</v>
      </c>
      <c r="C57" s="14">
        <v>41639</v>
      </c>
      <c r="D57">
        <v>1115</v>
      </c>
      <c r="E57">
        <v>9</v>
      </c>
      <c r="F57">
        <v>81</v>
      </c>
      <c r="G57">
        <v>3072000</v>
      </c>
      <c r="H57">
        <v>248</v>
      </c>
    </row>
    <row r="58" spans="1:8" x14ac:dyDescent="0.3">
      <c r="A58" t="s">
        <v>83</v>
      </c>
      <c r="B58" s="14">
        <v>41640</v>
      </c>
      <c r="C58" s="14">
        <v>42004</v>
      </c>
      <c r="D58">
        <v>1115</v>
      </c>
      <c r="E58">
        <v>9</v>
      </c>
      <c r="F58">
        <v>81</v>
      </c>
      <c r="G58">
        <v>3072000</v>
      </c>
      <c r="H58">
        <v>248</v>
      </c>
    </row>
    <row r="59" spans="1:8" x14ac:dyDescent="0.3">
      <c r="A59" t="s">
        <v>83</v>
      </c>
      <c r="B59" s="14">
        <v>42005</v>
      </c>
      <c r="C59" s="14">
        <v>42369</v>
      </c>
      <c r="D59">
        <v>1115</v>
      </c>
      <c r="E59">
        <v>9</v>
      </c>
      <c r="F59">
        <v>81</v>
      </c>
      <c r="G59">
        <v>3072000</v>
      </c>
      <c r="H59">
        <v>248</v>
      </c>
    </row>
    <row r="60" spans="1:8" x14ac:dyDescent="0.3">
      <c r="A60" t="s">
        <v>83</v>
      </c>
      <c r="B60" s="14">
        <v>42370</v>
      </c>
      <c r="C60" s="14">
        <v>42735</v>
      </c>
      <c r="D60">
        <v>1198.25</v>
      </c>
      <c r="E60">
        <v>9</v>
      </c>
      <c r="F60">
        <v>75</v>
      </c>
      <c r="G60">
        <v>3468000</v>
      </c>
      <c r="H60">
        <v>260</v>
      </c>
    </row>
    <row r="61" spans="1:8" x14ac:dyDescent="0.3">
      <c r="A61" t="s">
        <v>83</v>
      </c>
      <c r="B61" s="14">
        <v>42736</v>
      </c>
      <c r="C61" s="14">
        <v>43100</v>
      </c>
      <c r="D61">
        <v>1226</v>
      </c>
      <c r="E61">
        <v>9</v>
      </c>
      <c r="F61">
        <v>73</v>
      </c>
      <c r="G61">
        <v>4320000</v>
      </c>
      <c r="H61">
        <v>317</v>
      </c>
    </row>
    <row r="62" spans="1:8" x14ac:dyDescent="0.3">
      <c r="A62" t="s">
        <v>83</v>
      </c>
      <c r="B62" s="14">
        <v>43101</v>
      </c>
      <c r="C62" s="14">
        <v>43465</v>
      </c>
      <c r="D62">
        <v>1226</v>
      </c>
      <c r="E62">
        <v>9</v>
      </c>
      <c r="F62">
        <v>73</v>
      </c>
      <c r="G62">
        <v>4320000</v>
      </c>
      <c r="H62">
        <v>317</v>
      </c>
    </row>
    <row r="63" spans="1:8" x14ac:dyDescent="0.3">
      <c r="A63" t="s">
        <v>83</v>
      </c>
      <c r="B63" s="14">
        <v>43466</v>
      </c>
      <c r="C63" s="14">
        <v>43830</v>
      </c>
      <c r="D63">
        <v>1226</v>
      </c>
      <c r="E63">
        <v>9</v>
      </c>
      <c r="F63">
        <v>73</v>
      </c>
      <c r="G63">
        <v>4320000</v>
      </c>
      <c r="H63">
        <v>317</v>
      </c>
    </row>
    <row r="64" spans="1:8" x14ac:dyDescent="0.3">
      <c r="A64" t="s">
        <v>84</v>
      </c>
      <c r="B64" s="14">
        <v>26665</v>
      </c>
      <c r="C64" s="14">
        <v>27029</v>
      </c>
      <c r="D64">
        <v>100</v>
      </c>
      <c r="E64">
        <v>6</v>
      </c>
      <c r="F64">
        <v>600</v>
      </c>
      <c r="G64">
        <v>2160000</v>
      </c>
      <c r="H64">
        <v>1296</v>
      </c>
    </row>
    <row r="65" spans="1:8" x14ac:dyDescent="0.3">
      <c r="A65" t="s">
        <v>84</v>
      </c>
      <c r="B65" s="14">
        <v>27030</v>
      </c>
      <c r="C65" s="14">
        <v>27394</v>
      </c>
      <c r="D65">
        <v>125</v>
      </c>
      <c r="E65">
        <v>6</v>
      </c>
      <c r="F65">
        <v>479.99999999999994</v>
      </c>
      <c r="G65">
        <v>2160000</v>
      </c>
      <c r="H65">
        <v>1036.8</v>
      </c>
    </row>
    <row r="66" spans="1:8" x14ac:dyDescent="0.3">
      <c r="A66" t="s">
        <v>84</v>
      </c>
      <c r="B66" s="14">
        <v>27395</v>
      </c>
      <c r="C66" s="14">
        <v>27759</v>
      </c>
      <c r="D66">
        <v>125</v>
      </c>
      <c r="E66">
        <v>6</v>
      </c>
      <c r="F66">
        <v>479.99999999999994</v>
      </c>
      <c r="G66">
        <v>2160000</v>
      </c>
      <c r="H66">
        <v>1036.8</v>
      </c>
    </row>
    <row r="67" spans="1:8" x14ac:dyDescent="0.3">
      <c r="A67" t="s">
        <v>84</v>
      </c>
      <c r="B67" s="14">
        <v>27760</v>
      </c>
      <c r="C67" s="14">
        <v>28125</v>
      </c>
      <c r="D67">
        <v>142</v>
      </c>
      <c r="E67">
        <v>6</v>
      </c>
      <c r="F67">
        <v>422.53521126760558</v>
      </c>
      <c r="G67">
        <v>2160000</v>
      </c>
      <c r="H67">
        <v>912.67605633802805</v>
      </c>
    </row>
    <row r="68" spans="1:8" x14ac:dyDescent="0.3">
      <c r="A68" t="s">
        <v>84</v>
      </c>
      <c r="B68" s="14">
        <v>28126</v>
      </c>
      <c r="C68" s="14">
        <v>28490</v>
      </c>
      <c r="D68">
        <v>156</v>
      </c>
      <c r="E68">
        <v>6</v>
      </c>
      <c r="F68">
        <v>384.61538461538464</v>
      </c>
      <c r="G68">
        <v>2160000</v>
      </c>
      <c r="H68">
        <v>830.76923076923083</v>
      </c>
    </row>
    <row r="69" spans="1:8" x14ac:dyDescent="0.3">
      <c r="A69" t="s">
        <v>84</v>
      </c>
      <c r="B69" s="14">
        <v>28491</v>
      </c>
      <c r="C69" s="14">
        <v>28855</v>
      </c>
      <c r="D69">
        <v>162</v>
      </c>
      <c r="E69">
        <v>6</v>
      </c>
      <c r="F69">
        <v>370.37037037037032</v>
      </c>
      <c r="G69">
        <v>2520000</v>
      </c>
      <c r="H69">
        <v>933.33333333333326</v>
      </c>
    </row>
    <row r="70" spans="1:8" x14ac:dyDescent="0.3">
      <c r="A70" t="s">
        <v>84</v>
      </c>
      <c r="B70" s="14">
        <v>28856</v>
      </c>
      <c r="C70" s="14">
        <v>29220</v>
      </c>
      <c r="D70">
        <v>177</v>
      </c>
      <c r="E70">
        <v>6</v>
      </c>
      <c r="F70">
        <v>338.9830508474576</v>
      </c>
      <c r="G70">
        <v>2880000</v>
      </c>
      <c r="H70">
        <v>976.27118644067787</v>
      </c>
    </row>
    <row r="71" spans="1:8" x14ac:dyDescent="0.3">
      <c r="A71" t="s">
        <v>84</v>
      </c>
      <c r="B71" s="14">
        <v>29221</v>
      </c>
      <c r="C71" s="14">
        <v>29586</v>
      </c>
      <c r="D71">
        <v>197</v>
      </c>
      <c r="E71">
        <v>6</v>
      </c>
      <c r="F71">
        <v>304.56852791878174</v>
      </c>
      <c r="G71">
        <v>2880000</v>
      </c>
      <c r="H71">
        <v>877.15736040609147</v>
      </c>
    </row>
    <row r="72" spans="1:8" x14ac:dyDescent="0.3">
      <c r="A72" t="s">
        <v>84</v>
      </c>
      <c r="B72" s="14">
        <v>29587</v>
      </c>
      <c r="C72" s="14">
        <v>29951</v>
      </c>
      <c r="D72">
        <v>222</v>
      </c>
      <c r="E72">
        <v>6</v>
      </c>
      <c r="F72">
        <v>270.27027027027026</v>
      </c>
      <c r="G72">
        <v>3366000</v>
      </c>
      <c r="H72">
        <v>909.72972972972968</v>
      </c>
    </row>
    <row r="73" spans="1:8" x14ac:dyDescent="0.3">
      <c r="A73" t="s">
        <v>84</v>
      </c>
      <c r="B73" s="14">
        <v>29952</v>
      </c>
      <c r="C73" s="14">
        <v>30316</v>
      </c>
      <c r="D73">
        <v>252</v>
      </c>
      <c r="E73">
        <v>6</v>
      </c>
      <c r="F73">
        <v>238.0952380952381</v>
      </c>
      <c r="G73">
        <v>4050000</v>
      </c>
      <c r="H73">
        <v>964.28571428571422</v>
      </c>
    </row>
    <row r="74" spans="1:8" x14ac:dyDescent="0.3">
      <c r="A74" t="s">
        <v>84</v>
      </c>
      <c r="B74" s="14">
        <v>30317</v>
      </c>
      <c r="C74" s="14">
        <v>30681</v>
      </c>
      <c r="D74">
        <v>275</v>
      </c>
      <c r="E74">
        <v>6</v>
      </c>
      <c r="F74">
        <v>218.18181818181819</v>
      </c>
      <c r="G74">
        <v>4428000</v>
      </c>
      <c r="H74">
        <v>966.10909090909092</v>
      </c>
    </row>
    <row r="75" spans="1:8" x14ac:dyDescent="0.3">
      <c r="A75" t="s">
        <v>84</v>
      </c>
      <c r="B75" s="14">
        <v>30682</v>
      </c>
      <c r="C75" s="14">
        <v>31047</v>
      </c>
      <c r="D75">
        <v>311</v>
      </c>
      <c r="E75">
        <v>6</v>
      </c>
      <c r="F75">
        <v>192.92604501607715</v>
      </c>
      <c r="G75">
        <v>5004000</v>
      </c>
      <c r="H75">
        <v>965.40192926045017</v>
      </c>
    </row>
    <row r="76" spans="1:8" x14ac:dyDescent="0.3">
      <c r="A76" t="s">
        <v>84</v>
      </c>
      <c r="B76" s="14">
        <v>31048</v>
      </c>
      <c r="C76" s="14">
        <v>31412</v>
      </c>
      <c r="D76">
        <v>359</v>
      </c>
      <c r="E76">
        <v>6</v>
      </c>
      <c r="F76">
        <v>167.13091922005572</v>
      </c>
      <c r="G76">
        <v>5670000</v>
      </c>
      <c r="H76">
        <v>947.63231197771597</v>
      </c>
    </row>
    <row r="77" spans="1:8" x14ac:dyDescent="0.3">
      <c r="A77" t="s">
        <v>84</v>
      </c>
      <c r="B77" s="14">
        <v>31413</v>
      </c>
      <c r="C77" s="14">
        <v>31777</v>
      </c>
      <c r="D77">
        <v>383</v>
      </c>
      <c r="E77">
        <v>6</v>
      </c>
      <c r="F77">
        <v>156.65796344647521</v>
      </c>
      <c r="G77">
        <v>6228000</v>
      </c>
      <c r="H77">
        <v>975.66579634464767</v>
      </c>
    </row>
    <row r="78" spans="1:8" x14ac:dyDescent="0.3">
      <c r="A78" t="s">
        <v>84</v>
      </c>
      <c r="B78" s="14">
        <v>31778</v>
      </c>
      <c r="C78" s="14">
        <v>32142</v>
      </c>
      <c r="D78">
        <v>390</v>
      </c>
      <c r="E78">
        <v>6</v>
      </c>
      <c r="F78">
        <v>153.84615384615384</v>
      </c>
      <c r="G78">
        <v>6606000</v>
      </c>
      <c r="H78">
        <v>1016.3076923076923</v>
      </c>
    </row>
    <row r="79" spans="1:8" x14ac:dyDescent="0.3">
      <c r="A79" t="s">
        <v>84</v>
      </c>
      <c r="B79" s="14">
        <v>32143</v>
      </c>
      <c r="C79" s="14">
        <v>32508</v>
      </c>
      <c r="D79">
        <v>436</v>
      </c>
      <c r="E79">
        <v>6</v>
      </c>
      <c r="F79">
        <v>137.61467889908255</v>
      </c>
      <c r="G79">
        <v>6912000</v>
      </c>
      <c r="H79">
        <v>951.19266055045853</v>
      </c>
    </row>
    <row r="80" spans="1:8" x14ac:dyDescent="0.3">
      <c r="A80" t="s">
        <v>84</v>
      </c>
      <c r="B80" s="14">
        <v>32509</v>
      </c>
      <c r="C80" s="14">
        <v>32873</v>
      </c>
      <c r="D80">
        <v>436</v>
      </c>
      <c r="E80">
        <v>6</v>
      </c>
      <c r="F80">
        <v>137.61467889908255</v>
      </c>
      <c r="G80">
        <v>7128000</v>
      </c>
      <c r="H80">
        <v>980.9174311926605</v>
      </c>
    </row>
    <row r="81" spans="1:8" x14ac:dyDescent="0.3">
      <c r="A81" t="s">
        <v>84</v>
      </c>
      <c r="B81" s="14">
        <v>32874</v>
      </c>
      <c r="C81" s="14">
        <v>33238</v>
      </c>
      <c r="D81">
        <v>436</v>
      </c>
      <c r="E81">
        <v>6</v>
      </c>
      <c r="F81">
        <v>137.61467889908255</v>
      </c>
      <c r="G81">
        <v>7128000</v>
      </c>
      <c r="H81">
        <v>980.9174311926605</v>
      </c>
    </row>
    <row r="82" spans="1:8" x14ac:dyDescent="0.3">
      <c r="A82" t="s">
        <v>84</v>
      </c>
      <c r="B82" s="14">
        <v>33239</v>
      </c>
      <c r="C82" s="14">
        <v>33603</v>
      </c>
      <c r="D82">
        <v>436</v>
      </c>
      <c r="E82">
        <v>4.67</v>
      </c>
      <c r="F82">
        <v>107.11009174311927</v>
      </c>
      <c r="G82">
        <v>7176000</v>
      </c>
      <c r="H82">
        <v>768.6220183486239</v>
      </c>
    </row>
    <row r="83" spans="1:8" x14ac:dyDescent="0.3">
      <c r="A83" t="s">
        <v>84</v>
      </c>
      <c r="B83" s="14">
        <v>33604</v>
      </c>
      <c r="C83" s="14">
        <v>33969</v>
      </c>
      <c r="D83">
        <v>436</v>
      </c>
      <c r="E83">
        <v>4</v>
      </c>
      <c r="F83">
        <v>91.743119266055047</v>
      </c>
      <c r="G83">
        <v>7200000</v>
      </c>
      <c r="H83">
        <v>660.55045871559628</v>
      </c>
    </row>
    <row r="84" spans="1:8" x14ac:dyDescent="0.3">
      <c r="A84" t="s">
        <v>84</v>
      </c>
      <c r="B84" s="14">
        <v>33970</v>
      </c>
      <c r="C84" s="14">
        <v>34334</v>
      </c>
      <c r="D84">
        <v>436</v>
      </c>
      <c r="E84">
        <v>4</v>
      </c>
      <c r="F84">
        <v>91.743119266055047</v>
      </c>
      <c r="G84">
        <v>7200000</v>
      </c>
      <c r="H84">
        <v>660.55045871559628</v>
      </c>
    </row>
    <row r="85" spans="1:8" x14ac:dyDescent="0.3">
      <c r="A85" t="s">
        <v>84</v>
      </c>
      <c r="B85" s="14">
        <v>34335</v>
      </c>
      <c r="C85" s="14">
        <v>34699</v>
      </c>
      <c r="D85">
        <v>436</v>
      </c>
      <c r="E85">
        <v>4</v>
      </c>
      <c r="F85">
        <v>91.743119266055047</v>
      </c>
      <c r="G85">
        <v>7200000</v>
      </c>
      <c r="H85">
        <v>660.55045871559628</v>
      </c>
    </row>
    <row r="86" spans="1:8" x14ac:dyDescent="0.3">
      <c r="A86" t="s">
        <v>84</v>
      </c>
      <c r="B86" s="14">
        <v>34700</v>
      </c>
      <c r="C86" s="14">
        <v>35064</v>
      </c>
      <c r="D86">
        <v>436</v>
      </c>
      <c r="E86">
        <v>4</v>
      </c>
      <c r="F86">
        <v>91.743119266055047</v>
      </c>
      <c r="G86">
        <v>7200000</v>
      </c>
      <c r="H86">
        <v>660.55045871559628</v>
      </c>
    </row>
    <row r="87" spans="1:8" x14ac:dyDescent="0.3">
      <c r="A87" t="s">
        <v>84</v>
      </c>
      <c r="B87" s="14">
        <v>35065</v>
      </c>
      <c r="C87" s="14">
        <v>35430</v>
      </c>
      <c r="D87">
        <v>436</v>
      </c>
      <c r="E87">
        <v>4</v>
      </c>
      <c r="F87">
        <v>91.743119266055047</v>
      </c>
      <c r="G87">
        <v>7200000</v>
      </c>
      <c r="H87">
        <v>660.55045871559628</v>
      </c>
    </row>
    <row r="88" spans="1:8" x14ac:dyDescent="0.3">
      <c r="A88" t="s">
        <v>84</v>
      </c>
      <c r="B88" s="14">
        <v>35431</v>
      </c>
      <c r="C88" s="14">
        <v>35795</v>
      </c>
      <c r="D88">
        <v>436</v>
      </c>
      <c r="E88">
        <v>4</v>
      </c>
      <c r="F88">
        <v>91.743119266055047</v>
      </c>
      <c r="G88">
        <v>7200000</v>
      </c>
      <c r="H88">
        <v>660.55045871559628</v>
      </c>
    </row>
    <row r="89" spans="1:8" x14ac:dyDescent="0.3">
      <c r="A89" t="s">
        <v>84</v>
      </c>
      <c r="B89" s="14">
        <v>35796</v>
      </c>
      <c r="C89" s="14">
        <v>36160</v>
      </c>
      <c r="D89">
        <v>436</v>
      </c>
      <c r="E89">
        <v>4</v>
      </c>
      <c r="F89">
        <v>91.743119266055047</v>
      </c>
      <c r="G89">
        <v>7200000</v>
      </c>
      <c r="H89">
        <v>660.55045871559628</v>
      </c>
    </row>
    <row r="90" spans="1:8" x14ac:dyDescent="0.3">
      <c r="A90" t="s">
        <v>84</v>
      </c>
      <c r="B90" s="14">
        <v>36161</v>
      </c>
      <c r="C90" s="14">
        <v>36525</v>
      </c>
      <c r="D90">
        <v>436</v>
      </c>
      <c r="E90">
        <v>4</v>
      </c>
      <c r="F90">
        <v>91.743119266055047</v>
      </c>
      <c r="G90">
        <v>7200000</v>
      </c>
      <c r="H90">
        <v>660.55045871559628</v>
      </c>
    </row>
    <row r="91" spans="1:8" x14ac:dyDescent="0.3">
      <c r="A91" t="s">
        <v>84</v>
      </c>
      <c r="B91" s="14">
        <v>36526</v>
      </c>
      <c r="C91" s="14">
        <v>36891</v>
      </c>
      <c r="D91">
        <v>436</v>
      </c>
      <c r="E91">
        <v>4</v>
      </c>
      <c r="F91">
        <v>91.743119266055047</v>
      </c>
      <c r="G91">
        <v>7200000</v>
      </c>
      <c r="H91">
        <v>660.55045871559628</v>
      </c>
    </row>
    <row r="92" spans="1:8" x14ac:dyDescent="0.3">
      <c r="A92" t="s">
        <v>84</v>
      </c>
      <c r="B92" s="14">
        <v>36892</v>
      </c>
      <c r="C92" s="14">
        <v>37256</v>
      </c>
      <c r="D92">
        <v>436</v>
      </c>
      <c r="E92">
        <v>4</v>
      </c>
      <c r="F92">
        <v>91.743119266055047</v>
      </c>
      <c r="G92">
        <v>7200000</v>
      </c>
      <c r="H92">
        <v>660.55045871559628</v>
      </c>
    </row>
    <row r="93" spans="1:8" x14ac:dyDescent="0.3">
      <c r="A93" t="s">
        <v>84</v>
      </c>
      <c r="B93" s="14">
        <v>37257</v>
      </c>
      <c r="C93" s="14">
        <v>37621</v>
      </c>
      <c r="D93">
        <v>436</v>
      </c>
      <c r="E93">
        <v>4</v>
      </c>
      <c r="F93">
        <v>91.743119266055047</v>
      </c>
      <c r="G93">
        <v>7200000</v>
      </c>
      <c r="H93">
        <v>660.55045871559628</v>
      </c>
    </row>
    <row r="94" spans="1:8" x14ac:dyDescent="0.3">
      <c r="A94" t="s">
        <v>84</v>
      </c>
      <c r="B94" s="14">
        <v>37622</v>
      </c>
      <c r="C94" s="14">
        <v>37986</v>
      </c>
      <c r="D94">
        <v>457.8</v>
      </c>
      <c r="E94">
        <v>4</v>
      </c>
      <c r="F94">
        <v>87.374399301004814</v>
      </c>
      <c r="G94">
        <v>7200000</v>
      </c>
      <c r="H94">
        <v>629.09567496723457</v>
      </c>
    </row>
    <row r="95" spans="1:8" x14ac:dyDescent="0.3">
      <c r="A95" t="s">
        <v>84</v>
      </c>
      <c r="B95" s="14">
        <v>37987</v>
      </c>
      <c r="C95" s="14">
        <v>38352</v>
      </c>
      <c r="D95">
        <v>483</v>
      </c>
      <c r="E95">
        <v>4</v>
      </c>
      <c r="F95">
        <v>82.815734989648035</v>
      </c>
      <c r="G95">
        <v>7560000</v>
      </c>
      <c r="H95">
        <v>626.08695652173913</v>
      </c>
    </row>
    <row r="96" spans="1:8" x14ac:dyDescent="0.3">
      <c r="A96" t="s">
        <v>84</v>
      </c>
      <c r="B96" s="14">
        <v>38353</v>
      </c>
      <c r="C96" s="14">
        <v>38717</v>
      </c>
      <c r="D96">
        <v>511</v>
      </c>
      <c r="E96">
        <v>4</v>
      </c>
      <c r="F96">
        <v>78.277886497064586</v>
      </c>
      <c r="G96">
        <v>7992000</v>
      </c>
      <c r="H96">
        <v>625.59686888454019</v>
      </c>
    </row>
    <row r="97" spans="1:8" x14ac:dyDescent="0.3">
      <c r="A97" t="s">
        <v>84</v>
      </c>
      <c r="B97" s="14">
        <v>38718</v>
      </c>
      <c r="C97" s="14">
        <v>39082</v>
      </c>
      <c r="D97">
        <v>540</v>
      </c>
      <c r="E97">
        <v>4</v>
      </c>
      <c r="F97">
        <v>74.074074074074076</v>
      </c>
      <c r="G97">
        <v>7200000</v>
      </c>
      <c r="H97">
        <v>624</v>
      </c>
    </row>
    <row r="98" spans="1:8" x14ac:dyDescent="0.3">
      <c r="A98" t="s">
        <v>84</v>
      </c>
      <c r="B98" s="14">
        <v>39083</v>
      </c>
      <c r="C98" s="14">
        <v>39447</v>
      </c>
      <c r="D98">
        <v>568</v>
      </c>
      <c r="E98">
        <v>4</v>
      </c>
      <c r="F98">
        <v>70.422535211267615</v>
      </c>
      <c r="G98">
        <v>8856000</v>
      </c>
      <c r="H98">
        <v>623.66197183098598</v>
      </c>
    </row>
    <row r="99" spans="1:8" x14ac:dyDescent="0.3">
      <c r="A99" t="s">
        <v>84</v>
      </c>
      <c r="B99" s="14">
        <v>39448</v>
      </c>
      <c r="C99" s="14">
        <v>39813</v>
      </c>
      <c r="D99">
        <v>591</v>
      </c>
      <c r="E99">
        <v>4</v>
      </c>
      <c r="F99">
        <v>67.681895093062607</v>
      </c>
      <c r="G99">
        <v>9216000</v>
      </c>
      <c r="H99">
        <v>623.75634517766503</v>
      </c>
    </row>
    <row r="100" spans="1:8" x14ac:dyDescent="0.3">
      <c r="A100" t="s">
        <v>84</v>
      </c>
      <c r="B100" s="14">
        <v>39814</v>
      </c>
      <c r="C100" s="14">
        <v>40178</v>
      </c>
      <c r="D100">
        <v>591</v>
      </c>
      <c r="E100">
        <v>4</v>
      </c>
      <c r="F100">
        <v>67.681895093062607</v>
      </c>
      <c r="G100">
        <v>9216000</v>
      </c>
      <c r="H100">
        <v>623.75634517766503</v>
      </c>
    </row>
    <row r="101" spans="1:8" x14ac:dyDescent="0.3">
      <c r="A101" t="s">
        <v>84</v>
      </c>
      <c r="B101" s="14">
        <v>40179</v>
      </c>
      <c r="C101" s="14">
        <v>40543</v>
      </c>
      <c r="D101">
        <v>609</v>
      </c>
      <c r="E101">
        <v>4</v>
      </c>
      <c r="F101">
        <v>65.681444991789817</v>
      </c>
      <c r="G101">
        <v>9216000</v>
      </c>
      <c r="H101">
        <v>605.32019704433503</v>
      </c>
    </row>
    <row r="102" spans="1:8" x14ac:dyDescent="0.3">
      <c r="A102" t="s">
        <v>84</v>
      </c>
      <c r="B102" s="14">
        <v>40544</v>
      </c>
      <c r="C102" s="14">
        <v>40908</v>
      </c>
      <c r="D102">
        <v>609</v>
      </c>
      <c r="E102">
        <v>4</v>
      </c>
      <c r="F102">
        <v>65.681444991789817</v>
      </c>
      <c r="G102">
        <v>9216000</v>
      </c>
      <c r="H102">
        <v>605.32019704433503</v>
      </c>
    </row>
    <row r="103" spans="1:8" x14ac:dyDescent="0.3">
      <c r="A103" t="s">
        <v>84</v>
      </c>
      <c r="B103" s="14">
        <v>40909</v>
      </c>
      <c r="C103" s="14">
        <v>41274</v>
      </c>
      <c r="D103">
        <v>609</v>
      </c>
      <c r="E103">
        <v>4</v>
      </c>
      <c r="F103">
        <v>65.681444991789817</v>
      </c>
      <c r="G103">
        <v>9216000</v>
      </c>
      <c r="H103">
        <v>605.32019704433503</v>
      </c>
    </row>
    <row r="104" spans="1:8" x14ac:dyDescent="0.3">
      <c r="A104" t="s">
        <v>84</v>
      </c>
      <c r="B104" s="14">
        <v>41275</v>
      </c>
      <c r="C104" s="14">
        <v>41639</v>
      </c>
      <c r="D104">
        <v>609</v>
      </c>
      <c r="E104">
        <v>4</v>
      </c>
      <c r="F104">
        <v>65.681444991789817</v>
      </c>
      <c r="G104">
        <v>9216000</v>
      </c>
      <c r="H104">
        <v>605.32019704433503</v>
      </c>
    </row>
    <row r="105" spans="1:8" x14ac:dyDescent="0.3">
      <c r="A105" t="s">
        <v>84</v>
      </c>
      <c r="B105" s="14">
        <v>41640</v>
      </c>
      <c r="C105" s="14">
        <v>42004</v>
      </c>
      <c r="D105">
        <v>609</v>
      </c>
      <c r="E105">
        <v>4</v>
      </c>
      <c r="F105">
        <v>65.681444991789817</v>
      </c>
      <c r="G105">
        <v>9216000</v>
      </c>
      <c r="H105">
        <v>605.32019704433503</v>
      </c>
    </row>
    <row r="106" spans="1:8" x14ac:dyDescent="0.3">
      <c r="A106" t="s">
        <v>84</v>
      </c>
      <c r="B106" s="14">
        <v>42005</v>
      </c>
      <c r="C106" s="14">
        <v>42369</v>
      </c>
      <c r="D106">
        <v>609</v>
      </c>
      <c r="E106">
        <v>4</v>
      </c>
      <c r="F106">
        <v>65.681444991789817</v>
      </c>
      <c r="G106">
        <v>9216001</v>
      </c>
      <c r="H106">
        <v>605.32026272577991</v>
      </c>
    </row>
    <row r="107" spans="1:8" x14ac:dyDescent="0.3">
      <c r="A107" t="s">
        <v>84</v>
      </c>
      <c r="B107" s="14">
        <v>42370</v>
      </c>
      <c r="C107" s="14">
        <v>42735</v>
      </c>
      <c r="D107">
        <v>654.75</v>
      </c>
      <c r="E107">
        <v>4</v>
      </c>
      <c r="F107">
        <v>61.092019854906461</v>
      </c>
      <c r="G107">
        <v>10404000</v>
      </c>
      <c r="H107">
        <v>635.60137457044686</v>
      </c>
    </row>
    <row r="108" spans="1:8" x14ac:dyDescent="0.3">
      <c r="A108" t="s">
        <v>84</v>
      </c>
      <c r="B108" s="14">
        <v>42736</v>
      </c>
      <c r="C108" s="14">
        <v>43100</v>
      </c>
      <c r="D108">
        <v>670</v>
      </c>
      <c r="E108">
        <v>4</v>
      </c>
      <c r="F108">
        <v>59.701492537313435</v>
      </c>
      <c r="G108">
        <v>12960000</v>
      </c>
      <c r="H108">
        <v>773.73134328358208</v>
      </c>
    </row>
    <row r="109" spans="1:8" x14ac:dyDescent="0.3">
      <c r="A109" t="s">
        <v>84</v>
      </c>
      <c r="B109" s="14">
        <v>43101</v>
      </c>
      <c r="C109" s="14">
        <v>43465</v>
      </c>
      <c r="D109">
        <v>670</v>
      </c>
      <c r="E109">
        <v>4</v>
      </c>
      <c r="F109">
        <v>59.701492537313435</v>
      </c>
      <c r="G109">
        <v>12960000</v>
      </c>
      <c r="H109">
        <v>773.73134328358208</v>
      </c>
    </row>
    <row r="110" spans="1:8" x14ac:dyDescent="0.3">
      <c r="A110" t="s">
        <v>84</v>
      </c>
      <c r="B110" s="14">
        <v>43466</v>
      </c>
      <c r="C110" s="14">
        <v>43830</v>
      </c>
      <c r="D110">
        <v>670</v>
      </c>
      <c r="E110">
        <v>4</v>
      </c>
      <c r="F110">
        <v>59.701492537313435</v>
      </c>
      <c r="G110">
        <v>12960000</v>
      </c>
      <c r="H110">
        <v>773.73134328358208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Calcul de points</vt:lpstr>
      <vt:lpstr>Calcul de la pension</vt:lpstr>
      <vt:lpstr>Calcul de la pension Format</vt:lpstr>
      <vt:lpstr>Calcul de points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</dc:creator>
  <cp:lastModifiedBy>sidya</cp:lastModifiedBy>
  <dcterms:created xsi:type="dcterms:W3CDTF">2020-01-13T18:51:31Z</dcterms:created>
  <dcterms:modified xsi:type="dcterms:W3CDTF">2020-01-22T16:22:13Z</dcterms:modified>
</cp:coreProperties>
</file>